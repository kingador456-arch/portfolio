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<sst xmlns="http://schemas.openxmlformats.org/spreadsheetml/2006/main" count="2252" uniqueCount="1484">
  <si>
    <t>Agency Name</t>
  </si>
  <si>
    <t>Website URL</t>
  </si>
  <si>
    <t>Owners Name</t>
  </si>
  <si>
    <t>Address</t>
  </si>
  <si>
    <t>Contact No.</t>
  </si>
  <si>
    <t>Email</t>
  </si>
  <si>
    <t>ThinKASA</t>
  </si>
  <si>
    <t>https://thinkasa.com/</t>
  </si>
  <si>
    <t>Stanley Tansi</t>
  </si>
  <si>
    <t>Fitchburg, MA</t>
  </si>
  <si>
    <t>stantely@thinkasa.com</t>
  </si>
  <si>
    <t>Maxburst</t>
  </si>
  <si>
    <t>maxburst.com</t>
  </si>
  <si>
    <t>Andrew Ruditser</t>
  </si>
  <si>
    <t>402 Pepperidge Rd, Hewlett, NY 11557</t>
  </si>
  <si>
    <t>(516) 205-1109</t>
  </si>
  <si>
    <t>aruditser@maxburst.com</t>
  </si>
  <si>
    <t>Bigdropinc</t>
  </si>
  <si>
    <t>bigdropinc.com</t>
  </si>
  <si>
    <t>Garry Kanfer</t>
  </si>
  <si>
    <t>1298 Auerbach Ave, Hewlett, NY 11557</t>
  </si>
  <si>
    <t>(646) 450-1850</t>
  </si>
  <si>
    <t>kanferg24@yahoo.com</t>
  </si>
  <si>
    <t>Transfuture</t>
  </si>
  <si>
    <t>transfuture.com</t>
  </si>
  <si>
    <t>Joseph Egan</t>
  </si>
  <si>
    <t>2450 Massachusetts Avenue. 520</t>
  </si>
  <si>
    <t>(718)-228-0798</t>
  </si>
  <si>
    <t>joe@transfuture.com</t>
  </si>
  <si>
    <t>jhseo agency</t>
  </si>
  <si>
    <t>jhseoagency.com</t>
  </si>
  <si>
    <t>Jimmy Huh</t>
  </si>
  <si>
    <t>1648 Keeaumoku St Apt 1A, Honolulu</t>
  </si>
  <si>
    <t>jimmy@jhseoagency.com</t>
  </si>
  <si>
    <t>Unified Infotech</t>
  </si>
  <si>
    <t>unifiedinfotech.net</t>
  </si>
  <si>
    <t>Pratip Biswas</t>
  </si>
  <si>
    <t>855 Foxkirk Dr, Brookfield, WI 53045</t>
  </si>
  <si>
    <t>pratip@unifiedinfotech.net</t>
  </si>
  <si>
    <t>Zimble Code</t>
  </si>
  <si>
    <t>zimblecode.com</t>
  </si>
  <si>
    <t xml:space="preserve">Sarbjot S. Dhaliwal </t>
  </si>
  <si>
    <t>3390 Walker Road, Unit 300, Windsor, ON N8W 3S1</t>
  </si>
  <si>
    <t>sarab1991@gmail.com</t>
  </si>
  <si>
    <t>E9 digital</t>
  </si>
  <si>
    <t>e9digital.com</t>
  </si>
  <si>
    <t>Conrad Strabone</t>
  </si>
  <si>
    <t>606 W 57th StNew York, New York 10019-1325</t>
  </si>
  <si>
    <t>conrad.strabone@gmail.com</t>
  </si>
  <si>
    <t>Digital Design NYC</t>
  </si>
  <si>
    <t>https://dd.nyc/</t>
  </si>
  <si>
    <t>Anjelika Kour</t>
  </si>
  <si>
    <t>611 Broadway Rm 426. New York, NY 10012</t>
  </si>
  <si>
    <t>647-405-9873</t>
  </si>
  <si>
    <t>kouranjelika@gmail.com</t>
  </si>
  <si>
    <t>The Newyork Website Design</t>
  </si>
  <si>
    <t>thenewyorkwebsitedesigner.com</t>
  </si>
  <si>
    <t>Andrea Bertola Shaw</t>
  </si>
  <si>
    <t>139th Ave.Jamaica, NY 11413</t>
  </si>
  <si>
    <t>973-216-6441</t>
  </si>
  <si>
    <t>andrea@thenewyorkwebsitedesigner.com</t>
  </si>
  <si>
    <t>Web Team Management</t>
  </si>
  <si>
    <t>webteammanagement.com</t>
  </si>
  <si>
    <t>Abraham Allen Anidjar</t>
  </si>
  <si>
    <t>17084 Collins Ave, Sunny Isles Beach, FL 33160</t>
  </si>
  <si>
    <t>212-470-0057</t>
  </si>
  <si>
    <t>Anidjar@webteammanagement.com</t>
  </si>
  <si>
    <t>24/7 Web Design</t>
  </si>
  <si>
    <t>247nywebdesign.com</t>
  </si>
  <si>
    <t>John Hanimov</t>
  </si>
  <si>
    <t>Tuxford St.Sun Valley, CA 91352</t>
  </si>
  <si>
    <t>718-233-3120</t>
  </si>
  <si>
    <t>info@247nywebdesign.com</t>
  </si>
  <si>
    <t>Serokel</t>
  </si>
  <si>
    <t>serokell.io</t>
  </si>
  <si>
    <t>Arseniy Seroka</t>
  </si>
  <si>
    <t>seroka@serokell.io</t>
  </si>
  <si>
    <t>Heisler Solutions</t>
  </si>
  <si>
    <t>heislersolutions.com</t>
  </si>
  <si>
    <t>Steven Heisler</t>
  </si>
  <si>
    <t>321 NW 65th Way, Hollywood, Florida 33024</t>
  </si>
  <si>
    <t>steven@heislersolutions.co</t>
  </si>
  <si>
    <t>Griffon Webstudios</t>
  </si>
  <si>
    <t>http://griffonwebstudios.com/</t>
  </si>
  <si>
    <t>Fiaz Mohammed</t>
  </si>
  <si>
    <t>Virtusa</t>
  </si>
  <si>
    <t>virtusa.com</t>
  </si>
  <si>
    <t>Nitesh Banga</t>
  </si>
  <si>
    <t>132 Turnpike Rd Ste 300, Southborough, Massachusetts, 01772</t>
  </si>
  <si>
    <t>niteshbanga@virtusa.com</t>
  </si>
  <si>
    <t>Jcraft Website</t>
  </si>
  <si>
    <t>jcraftstudios.com</t>
  </si>
  <si>
    <t>Mercy Myers</t>
  </si>
  <si>
    <t>New York City Metropolitan Area</t>
  </si>
  <si>
    <t>+15168643452 , +15169225112</t>
  </si>
  <si>
    <t>mercy@jcraftstudios.com , jonimyers@gmail.com , mercyimyers@gmail.com</t>
  </si>
  <si>
    <t>Sigli</t>
  </si>
  <si>
    <t>sigli.com</t>
  </si>
  <si>
    <t>Mike Baleika</t>
  </si>
  <si>
    <t>Vilnius, Vilniaus, Lithuania</t>
  </si>
  <si>
    <t>+375333787474</t>
  </si>
  <si>
    <t>mike.baleika@sigli.com</t>
  </si>
  <si>
    <t>Instinct tools</t>
  </si>
  <si>
    <t>instinctools.com</t>
  </si>
  <si>
    <t>Alexey Spas</t>
  </si>
  <si>
    <t>Stuttgart, Baden-Württemberg, Germany</t>
  </si>
  <si>
    <t>+491726039981</t>
  </si>
  <si>
    <t>alexej.spas@instinctools.com , alexeyspas@gmail.com</t>
  </si>
  <si>
    <t>Shakuro</t>
  </si>
  <si>
    <t>shakuro.com</t>
  </si>
  <si>
    <t>Kostya Stepanov</t>
  </si>
  <si>
    <t>Thailand</t>
  </si>
  <si>
    <t>+16465200670</t>
  </si>
  <si>
    <t>kstepanov@shakuro.com</t>
  </si>
  <si>
    <t>M 4</t>
  </si>
  <si>
    <t>meant4.com</t>
  </si>
  <si>
    <t>Maciej Perlinski</t>
  </si>
  <si>
    <t>Warsaw, Mazowieckie, Poland</t>
  </si>
  <si>
    <t>+48223897898</t>
  </si>
  <si>
    <t>maciej.perlinski@meant4.com</t>
  </si>
  <si>
    <t>Door 3</t>
  </si>
  <si>
    <t>door3.com</t>
  </si>
  <si>
    <t xml:space="preserve">Alex Asianov </t>
  </si>
  <si>
    <t>New York, New York, United States</t>
  </si>
  <si>
    <t xml:space="preserve">+19176968126 , </t>
  </si>
  <si>
    <t>alex@door3.com , alex.manhattan@gmail.com</t>
  </si>
  <si>
    <t>Buzz worthy Studio</t>
  </si>
  <si>
    <t>buzzworthystudio.com</t>
  </si>
  <si>
    <t>Daniel Haiem</t>
  </si>
  <si>
    <t>Los Angeles, California, United States</t>
  </si>
  <si>
    <t>+13109991722</t>
  </si>
  <si>
    <t>danielhaiem93@gmail.com</t>
  </si>
  <si>
    <t>Jet Rockets</t>
  </si>
  <si>
    <t>jetrockets.com</t>
  </si>
  <si>
    <t>Natalie Kaminski</t>
  </si>
  <si>
    <t>nataliekaminski@gmail.com</t>
  </si>
  <si>
    <t>Mean Pug</t>
  </si>
  <si>
    <t>meanpug.com</t>
  </si>
  <si>
    <t>Bobby Steinbach</t>
  </si>
  <si>
    <t>+15182818509</t>
  </si>
  <si>
    <t>steinbach.rj@gmail.com</t>
  </si>
  <si>
    <t>Burst Digital</t>
  </si>
  <si>
    <t>burstdgtl.com</t>
  </si>
  <si>
    <t>Max Carmichael-Jack</t>
  </si>
  <si>
    <t>United Kingdom</t>
  </si>
  <si>
    <t>max.carmichael-jack@outlook.com</t>
  </si>
  <si>
    <t>North Street</t>
  </si>
  <si>
    <t>northstreetcreative.com</t>
  </si>
  <si>
    <t>Tom Conlon</t>
  </si>
  <si>
    <t>+12122275951 , +12393146426</t>
  </si>
  <si>
    <t>thomasconlon@gmail.com</t>
  </si>
  <si>
    <t>Crafted NY</t>
  </si>
  <si>
    <t>craftedny.com</t>
  </si>
  <si>
    <t>Peter Mendez</t>
  </si>
  <si>
    <t>Miami-Fort Lauderdale Area</t>
  </si>
  <si>
    <t>+16467655596</t>
  </si>
  <si>
    <t>mendezpeter@gmail.com , mendezpeterwq18@gmail.com</t>
  </si>
  <si>
    <t>Torri Studio</t>
  </si>
  <si>
    <t>torii.studio</t>
  </si>
  <si>
    <t>Cristobal Chao</t>
  </si>
  <si>
    <t>cristobalchaogersol@gmail.com , cristobalchao@hotmail.com , cchao87@gmail.com</t>
  </si>
  <si>
    <t>New Media</t>
  </si>
  <si>
    <t>newmedia.com</t>
  </si>
  <si>
    <t>Steve Morris</t>
  </si>
  <si>
    <t>+13038087207 , +13036342285</t>
  </si>
  <si>
    <t>stevemorris@gmail.com</t>
  </si>
  <si>
    <t>Plaud It</t>
  </si>
  <si>
    <t>plaudit.com</t>
  </si>
  <si>
    <t>David Schlotfeldt</t>
  </si>
  <si>
    <t>St Paul, Minnesota, United States</t>
  </si>
  <si>
    <t>+16127013124 , +16516460696</t>
  </si>
  <si>
    <t>davidschlotfeldt@gmail.com</t>
  </si>
  <si>
    <t>Five Jars</t>
  </si>
  <si>
    <t>fivejars.com</t>
  </si>
  <si>
    <t>Alex Schedrov</t>
  </si>
  <si>
    <t>Washington, District of Columbia, United States</t>
  </si>
  <si>
    <t>+18562149993</t>
  </si>
  <si>
    <t>alexander.schedrov@gmail.com</t>
  </si>
  <si>
    <t>Saritasa</t>
  </si>
  <si>
    <t>saritasa.com</t>
  </si>
  <si>
    <t>Nik Froehlich</t>
  </si>
  <si>
    <t>Newport Beach, California, United States</t>
  </si>
  <si>
    <t>+19492542609</t>
  </si>
  <si>
    <t>nikfroehlich@me.com</t>
  </si>
  <si>
    <t>Fulcrum</t>
  </si>
  <si>
    <t>nyfulcrum.com</t>
  </si>
  <si>
    <t>Froilan Mendoza</t>
  </si>
  <si>
    <t>+16465418505</t>
  </si>
  <si>
    <t>froilanmendoza@gmail.com</t>
  </si>
  <si>
    <t>Studio Made</t>
  </si>
  <si>
    <t>studiomade.co</t>
  </si>
  <si>
    <t>Phill Reid</t>
  </si>
  <si>
    <t>Royal Tunbridge Wells, England, United Kingdom</t>
  </si>
  <si>
    <t>+44.2073947234</t>
  </si>
  <si>
    <t>philreid@gmail.com</t>
  </si>
  <si>
    <t>Empat</t>
  </si>
  <si>
    <t>empat.tech</t>
  </si>
  <si>
    <t>Nazar</t>
  </si>
  <si>
    <t>San Francisco, California, United States</t>
  </si>
  <si>
    <t>+13059868147 , +380637704615</t>
  </si>
  <si>
    <t>gulyk.n@gmail.com</t>
  </si>
  <si>
    <t>Bold Heart</t>
  </si>
  <si>
    <t>boldheart.io</t>
  </si>
  <si>
    <t>Fabienne Fredrickson</t>
  </si>
  <si>
    <t>Paris, Île-de-France, France</t>
  </si>
  <si>
    <t>+12039793131 , 203-353-0783</t>
  </si>
  <si>
    <t>fabienne@boldheart.com</t>
  </si>
  <si>
    <t>Digis</t>
  </si>
  <si>
    <t>digiscorp.com</t>
  </si>
  <si>
    <t>Alexey Nagatkin</t>
  </si>
  <si>
    <t>Ukraine</t>
  </si>
  <si>
    <t>+380674686808</t>
  </si>
  <si>
    <t>alexey.nagatkin@alphacrew.com</t>
  </si>
  <si>
    <t>Siftia</t>
  </si>
  <si>
    <t>siftia.tech</t>
  </si>
  <si>
    <t>Paul Fervoy</t>
  </si>
  <si>
    <t>San Pedro, San Jose, Costa Rica</t>
  </si>
  <si>
    <t>+50688222018</t>
  </si>
  <si>
    <t>paulfervoy@gmail.com</t>
  </si>
  <si>
    <t>Kitely Tech</t>
  </si>
  <si>
    <t>kitelytech.com</t>
  </si>
  <si>
    <t>Jason L. Weiner</t>
  </si>
  <si>
    <t>Detroit, Michigan, United States</t>
  </si>
  <si>
    <t>+13134444529</t>
  </si>
  <si>
    <t xml:space="preserve">weinerjason@gmail.com, </t>
  </si>
  <si>
    <t>Adchitects</t>
  </si>
  <si>
    <t>adchitects.co</t>
  </si>
  <si>
    <t>Jakub (Kuba) Luty</t>
  </si>
  <si>
    <t>Poznań, Wielkopolskie, Poland</t>
  </si>
  <si>
    <t>+17792439412</t>
  </si>
  <si>
    <t>jakubluty@gmail.com</t>
  </si>
  <si>
    <t>Up Qode</t>
  </si>
  <si>
    <t>upqode.com</t>
  </si>
  <si>
    <t>Valentin Pasecinic</t>
  </si>
  <si>
    <t>France</t>
  </si>
  <si>
    <t>+16155925553</t>
  </si>
  <si>
    <t>pasecinicv@yahoo.com</t>
  </si>
  <si>
    <t>Phenomenon Studio</t>
  </si>
  <si>
    <t>phenomenonstudio.com</t>
  </si>
  <si>
    <t xml:space="preserve">Valerii Filimonov </t>
  </si>
  <si>
    <t>Lugano, Ticino, Switzerland</t>
  </si>
  <si>
    <t>+380501570725</t>
  </si>
  <si>
    <t>filimonovvalerio@gmail.com</t>
  </si>
  <si>
    <t>XWP</t>
  </si>
  <si>
    <t>xwp.co</t>
  </si>
  <si>
    <t>Myles Lagolago-Craig</t>
  </si>
  <si>
    <t>Australia</t>
  </si>
  <si>
    <t>+61402045111</t>
  </si>
  <si>
    <t>goodandfaithful@gmail.com</t>
  </si>
  <si>
    <t>Greybox</t>
  </si>
  <si>
    <t>greyboxcreative.com</t>
  </si>
  <si>
    <t>Vincent Fatato</t>
  </si>
  <si>
    <t>+16463547771</t>
  </si>
  <si>
    <t>vfatato@gmail.com</t>
  </si>
  <si>
    <t>Sigma</t>
  </si>
  <si>
    <t>sigma.software</t>
  </si>
  <si>
    <t>Valery Krasovsky</t>
  </si>
  <si>
    <t>+380 67 576 2995</t>
  </si>
  <si>
    <t>valery.krasovsky@sigmaukraine.com</t>
  </si>
  <si>
    <t>Great Jakes</t>
  </si>
  <si>
    <t>greatjakes.com</t>
  </si>
  <si>
    <t>Robert Algeri</t>
  </si>
  <si>
    <t>+19175013401</t>
  </si>
  <si>
    <t>ra1234ster@gmail.com</t>
  </si>
  <si>
    <t>Farcoda</t>
  </si>
  <si>
    <t>forcoda.com</t>
  </si>
  <si>
    <t xml:space="preserve">Lena Levine </t>
  </si>
  <si>
    <t>Sydney, New South Wales, Australia</t>
  </si>
  <si>
    <t>+1 716-930-2984</t>
  </si>
  <si>
    <t>happy.lenz@gmail.com , lenali20212021@gmail.com</t>
  </si>
  <si>
    <t>Jahnel Group</t>
  </si>
  <si>
    <t>jahnelgroup.com</t>
  </si>
  <si>
    <t xml:space="preserve">Darrin Jahnel </t>
  </si>
  <si>
    <t>Schenectady, New York, United States</t>
  </si>
  <si>
    <t>+15189862093</t>
  </si>
  <si>
    <t>djahnel@gmail.com , djahnel@yahoo.com</t>
  </si>
  <si>
    <t>Espress Labs</t>
  </si>
  <si>
    <t>espresslabs.com</t>
  </si>
  <si>
    <t>Dan Alexander Ifrim</t>
  </si>
  <si>
    <t>Canada</t>
  </si>
  <si>
    <t>+1 647-588-5832</t>
  </si>
  <si>
    <t>dan@espresslabs.com</t>
  </si>
  <si>
    <t>Storm Brain</t>
  </si>
  <si>
    <t>stormbrain.com</t>
  </si>
  <si>
    <t>Blake J. Nolan</t>
  </si>
  <si>
    <t>United States</t>
  </si>
  <si>
    <t>+17609405708</t>
  </si>
  <si>
    <t>blakenolan@gmail.com</t>
  </si>
  <si>
    <t>Bilberry</t>
  </si>
  <si>
    <t>bilberrry.com</t>
  </si>
  <si>
    <t>Adam Brazg</t>
  </si>
  <si>
    <t>Seattle, Washington, United States</t>
  </si>
  <si>
    <t>+380 91 960 4442</t>
  </si>
  <si>
    <t>adambrazg@gmail.com</t>
  </si>
  <si>
    <t>Fresh Bytes</t>
  </si>
  <si>
    <t>freshysites.com</t>
  </si>
  <si>
    <t>Ben Giordano</t>
  </si>
  <si>
    <t>Binghamton, New York, United States</t>
  </si>
  <si>
    <t>+1 607-624-9956</t>
  </si>
  <si>
    <t>benjamintgiordano@gmail.com</t>
  </si>
  <si>
    <t>WLCM</t>
  </si>
  <si>
    <t>wlcm.studio</t>
  </si>
  <si>
    <t>Lindsey Witmer Collins</t>
  </si>
  <si>
    <t>+19373080085</t>
  </si>
  <si>
    <t>lindseywitmer@gmail.com</t>
  </si>
  <si>
    <t>Troy Web</t>
  </si>
  <si>
    <t>troyweb.com</t>
  </si>
  <si>
    <t>Jon Briccetti</t>
  </si>
  <si>
    <t>Troy, New York, United States</t>
  </si>
  <si>
    <t>+15182741753</t>
  </si>
  <si>
    <t>jbriccetti@gmail.com</t>
  </si>
  <si>
    <t>Hubspire</t>
  </si>
  <si>
    <t>hubspire.com</t>
  </si>
  <si>
    <t>Thomas Abraham</t>
  </si>
  <si>
    <t>Brooklyn, New York, United States</t>
  </si>
  <si>
    <t>+1 917-935-1207</t>
  </si>
  <si>
    <t>abraham.thomas@gmail.com</t>
  </si>
  <si>
    <t>View Source</t>
  </si>
  <si>
    <t>view-source.com</t>
  </si>
  <si>
    <t>Jen Yuan</t>
  </si>
  <si>
    <t>+886978759583</t>
  </si>
  <si>
    <t>jenyuan@me.com</t>
  </si>
  <si>
    <t>Tanooki Labs</t>
  </si>
  <si>
    <t>tanookilabs.com</t>
  </si>
  <si>
    <t>Eric Skiff</t>
  </si>
  <si>
    <t>Shrewsbury, Massachusetts, United States</t>
  </si>
  <si>
    <t>+1 718-809-8692</t>
  </si>
  <si>
    <t>glitchcast@gmail.com</t>
  </si>
  <si>
    <t>Noformat</t>
  </si>
  <si>
    <t>noformat.com</t>
  </si>
  <si>
    <t>Ian Brewer</t>
  </si>
  <si>
    <t>+14157568809</t>
  </si>
  <si>
    <t>uibrewer@gmail.com</t>
  </si>
  <si>
    <t>Invowork</t>
  </si>
  <si>
    <t>invowork.com</t>
  </si>
  <si>
    <t>Khawaja Zubair Ahmed</t>
  </si>
  <si>
    <t>Cheshire, Connecticut, United States</t>
  </si>
  <si>
    <t>+923214008883</t>
  </si>
  <si>
    <t>zubairscb@hotmail.com</t>
  </si>
  <si>
    <t>Rapptr</t>
  </si>
  <si>
    <t>rapptr-labs</t>
  </si>
  <si>
    <t>Cory McAboy</t>
  </si>
  <si>
    <t>+18167219809</t>
  </si>
  <si>
    <t>cory.mcaboy@gmail.com</t>
  </si>
  <si>
    <t>Modus Digital</t>
  </si>
  <si>
    <t>modusdigital.com</t>
  </si>
  <si>
    <t>Nick Howes</t>
  </si>
  <si>
    <t>London Area, United Kingdom</t>
  </si>
  <si>
    <t>+44 78 7668 4571</t>
  </si>
  <si>
    <t>njhowes@gmail.com</t>
  </si>
  <si>
    <t>Onit Digital</t>
  </si>
  <si>
    <t>onitdigital.com</t>
  </si>
  <si>
    <t>Chris Jaskot</t>
  </si>
  <si>
    <t>Stateline, Nevada, United States</t>
  </si>
  <si>
    <t>+17342761982</t>
  </si>
  <si>
    <t>chrisjaskot@gmail.com</t>
  </si>
  <si>
    <t>Kegan Quimby</t>
  </si>
  <si>
    <t>keganquimby.com</t>
  </si>
  <si>
    <t>+16039695781</t>
  </si>
  <si>
    <t>kegan.quimby@gmail.com , keganquimby@gmail.com</t>
  </si>
  <si>
    <t>Jetsoft Pro</t>
  </si>
  <si>
    <t>jetsoftpro.com</t>
  </si>
  <si>
    <t>Serhiy Kharytonov</t>
  </si>
  <si>
    <t>+19142057357</t>
  </si>
  <si>
    <t>skhar1969@gmail.com</t>
  </si>
  <si>
    <t>Think First</t>
  </si>
  <si>
    <t>thinkitfirst.com</t>
  </si>
  <si>
    <t>Joe Lashinger</t>
  </si>
  <si>
    <t>Ardmore, Pennsylvania, United States</t>
  </si>
  <si>
    <t>+1 215-280-9939</t>
  </si>
  <si>
    <t>joelashinger@yahoo.com</t>
  </si>
  <si>
    <t>Drum N Code</t>
  </si>
  <si>
    <t>drumncode.com</t>
  </si>
  <si>
    <t>Alex Khorunzhyi</t>
  </si>
  <si>
    <t>+380 35 315 9373</t>
  </si>
  <si>
    <t>khorunzhyalex@gmail.com</t>
  </si>
  <si>
    <t>Neff Knows</t>
  </si>
  <si>
    <t>neffknows.com</t>
  </si>
  <si>
    <t>David Neff</t>
  </si>
  <si>
    <t>Philadelphia, Pennsylvania, United States</t>
  </si>
  <si>
    <t>+1 215-681-6333</t>
  </si>
  <si>
    <t>dn@neffassociates.com</t>
  </si>
  <si>
    <t>Strategy  of Things</t>
  </si>
  <si>
    <t>sotechnology.ai</t>
  </si>
  <si>
    <t>Benson Chan</t>
  </si>
  <si>
    <t>San Francisco Bay Area</t>
  </si>
  <si>
    <t>+14155661742</t>
  </si>
  <si>
    <t>bensonmchan@gmail.com , benson_m_chan@hotmail.com</t>
  </si>
  <si>
    <t>Bitorchestra</t>
  </si>
  <si>
    <t>bitsorchestra.com</t>
  </si>
  <si>
    <t>Roman Hutnyk</t>
  </si>
  <si>
    <t>Zymna Voda, Lviv, Ukraine</t>
  </si>
  <si>
    <t>+380 97 649 6077</t>
  </si>
  <si>
    <t>hutnykroman@gmail.com</t>
  </si>
  <si>
    <t>Triare</t>
  </si>
  <si>
    <t>triare.net</t>
  </si>
  <si>
    <t>Boris Abazher</t>
  </si>
  <si>
    <t>Minneapolis, Minnesota, United States</t>
  </si>
  <si>
    <t>+49 160 93461764</t>
  </si>
  <si>
    <t>b.abaev@gmail.com</t>
  </si>
  <si>
    <t>Lform Design</t>
  </si>
  <si>
    <t>lform.com</t>
  </si>
  <si>
    <t>Ian Loew</t>
  </si>
  <si>
    <t>Montclair, New Jersey, United States</t>
  </si>
  <si>
    <t>+1 201-906-0960</t>
  </si>
  <si>
    <t>ianloew@gmail.com</t>
  </si>
  <si>
    <t>Uinno</t>
  </si>
  <si>
    <t>uinno.io</t>
  </si>
  <si>
    <t>Pavlo Rudyka</t>
  </si>
  <si>
    <t>Lviv, Lviv, Ukraine</t>
  </si>
  <si>
    <t>+380 99 089 5800</t>
  </si>
  <si>
    <t>pasharudyka@gmail.com</t>
  </si>
  <si>
    <t>3 Side Cube</t>
  </si>
  <si>
    <t>3sidedcube.com</t>
  </si>
  <si>
    <t>Duncan Cook</t>
  </si>
  <si>
    <t>Poole, England, United Kingdom</t>
  </si>
  <si>
    <t>+44 797 179 5253</t>
  </si>
  <si>
    <t>duncancook26@gmail.com</t>
  </si>
  <si>
    <t>Yelling Mule</t>
  </si>
  <si>
    <t>yellingmule.com</t>
  </si>
  <si>
    <t>James Shiner</t>
  </si>
  <si>
    <t>Boston, Massachusetts, United States</t>
  </si>
  <si>
    <t xml:space="preserve">+1 617-206-1521 </t>
  </si>
  <si>
    <t>shinerj6@gmail.com</t>
  </si>
  <si>
    <t>Sumato Soft</t>
  </si>
  <si>
    <t>sumatosoft.com</t>
  </si>
  <si>
    <t>Yury Shamrei</t>
  </si>
  <si>
    <t>+43 670 6579011 , +375 29 395-14-06</t>
  </si>
  <si>
    <t>shamrey.yuriy@gmail.com</t>
  </si>
  <si>
    <t>Temper and Forge</t>
  </si>
  <si>
    <t>temperandforge.com</t>
  </si>
  <si>
    <t>Nate Botelho</t>
  </si>
  <si>
    <t>+16179575677</t>
  </si>
  <si>
    <t>botelhonate@gmail.com</t>
  </si>
  <si>
    <t>Nix United</t>
  </si>
  <si>
    <t>nix-united.com</t>
  </si>
  <si>
    <t>Igor Braginsky</t>
  </si>
  <si>
    <t>+380577840600</t>
  </si>
  <si>
    <t>garryilua@gmail.com</t>
  </si>
  <si>
    <t>Wakefly</t>
  </si>
  <si>
    <t>wakefly.com</t>
  </si>
  <si>
    <t>Dean Dorazio</t>
  </si>
  <si>
    <t>Grafton, Massachusetts, United States</t>
  </si>
  <si>
    <t>+18884415744</t>
  </si>
  <si>
    <t>dean.dorazio@gmail.com</t>
  </si>
  <si>
    <t>Equal Design</t>
  </si>
  <si>
    <t>equal.design</t>
  </si>
  <si>
    <t>Serhii Huba</t>
  </si>
  <si>
    <t>Lisbon, Lisbon, Portugal</t>
  </si>
  <si>
    <t>+380675799133</t>
  </si>
  <si>
    <t>gsnguba@gmail.com</t>
  </si>
  <si>
    <t>We Are Immidiate</t>
  </si>
  <si>
    <t>weareimmediate.com</t>
  </si>
  <si>
    <t>Lori Shecter</t>
  </si>
  <si>
    <t>+13523572242</t>
  </si>
  <si>
    <t>lorishecter@gmail.com</t>
  </si>
  <si>
    <t>Vairix</t>
  </si>
  <si>
    <t>vairix.com</t>
  </si>
  <si>
    <t>Gaston Arbeletche</t>
  </si>
  <si>
    <t>+598 99 023 143</t>
  </si>
  <si>
    <t>garbeletche@gmail.com</t>
  </si>
  <si>
    <t>Gofish Digital</t>
  </si>
  <si>
    <t>gofishdigital.com</t>
  </si>
  <si>
    <t>Dan Hinckley</t>
  </si>
  <si>
    <t>Raleigh-Durham-Chapel Hill Area</t>
  </si>
  <si>
    <t>+1 703-638-4138</t>
  </si>
  <si>
    <t>dhinckley@gmail.com</t>
  </si>
  <si>
    <t>Traktek</t>
  </si>
  <si>
    <t>traktekpartners.com</t>
  </si>
  <si>
    <t>Cyril Lemaire</t>
  </si>
  <si>
    <t>Needham, Massachusetts, United States</t>
  </si>
  <si>
    <t>+617-855-5148</t>
  </si>
  <si>
    <t>clemaire69@gmail.com</t>
  </si>
  <si>
    <t>Semrush</t>
  </si>
  <si>
    <t>semrush.com</t>
  </si>
  <si>
    <t>Oleg Shchegolev</t>
  </si>
  <si>
    <t>North Miami Beach, Florida, United States</t>
  </si>
  <si>
    <t>+7 911 923-00-74 , +1 267-261-8580</t>
  </si>
  <si>
    <t>oleg.shchegolev@gmail.com</t>
  </si>
  <si>
    <t>Mighty Union Agency</t>
  </si>
  <si>
    <t>mightyunionagency.com</t>
  </si>
  <si>
    <t>Matthew Naffah</t>
  </si>
  <si>
    <t>Andover, Massachusetts, United States</t>
  </si>
  <si>
    <t>+1 508-221-1286</t>
  </si>
  <si>
    <t>naffahmj@gmail.com</t>
  </si>
  <si>
    <t>Serpcom</t>
  </si>
  <si>
    <t>serpcom.com</t>
  </si>
  <si>
    <t>Jonathan Shubow</t>
  </si>
  <si>
    <t>Naples, Florida, United States</t>
  </si>
  <si>
    <t>+1 339-225-0646</t>
  </si>
  <si>
    <t>shubow99@gmail.com</t>
  </si>
  <si>
    <t>Full Cortex</t>
  </si>
  <si>
    <t>fullcortex.com</t>
  </si>
  <si>
    <t>Daniel Rondeau</t>
  </si>
  <si>
    <t>Greater Boston</t>
  </si>
  <si>
    <t>+1 860-942-9096</t>
  </si>
  <si>
    <t>dfr355@ymail.com</t>
  </si>
  <si>
    <t>Zero Degree</t>
  </si>
  <si>
    <t>zerodegreesinc.com</t>
  </si>
  <si>
    <t>Colin Hynes</t>
  </si>
  <si>
    <t>+774-444-5584</t>
  </si>
  <si>
    <t>cah18@yahoo.com</t>
  </si>
  <si>
    <t>Knecter</t>
  </si>
  <si>
    <t>knectar.com</t>
  </si>
  <si>
    <t>Chris Amato</t>
  </si>
  <si>
    <t>Northampton, Massachusetts, United States</t>
  </si>
  <si>
    <t>+1 413-854-8468</t>
  </si>
  <si>
    <t>knectar@gmail.com</t>
  </si>
  <si>
    <t>Next Idea Tech</t>
  </si>
  <si>
    <t>nextideatech.com</t>
  </si>
  <si>
    <t>Zak Elmeghni</t>
  </si>
  <si>
    <t>+1 617-953-7586</t>
  </si>
  <si>
    <t>elmeghni@gmail.com</t>
  </si>
  <si>
    <t>Opus Design</t>
  </si>
  <si>
    <t>opusdesign.us</t>
  </si>
  <si>
    <t>Julia Frenkle</t>
  </si>
  <si>
    <t>Cambridge, Massachusetts, United States</t>
  </si>
  <si>
    <t>+16174624783</t>
  </si>
  <si>
    <t>frenkelb54@yahoo.com</t>
  </si>
  <si>
    <t>Govinho</t>
  </si>
  <si>
    <t>goinvo.com</t>
  </si>
  <si>
    <t>Juhan Sonin</t>
  </si>
  <si>
    <t>Arlington, Massachusetts, United States</t>
  </si>
  <si>
    <t>+17813504359</t>
  </si>
  <si>
    <t>juhansonin@gmail.com</t>
  </si>
  <si>
    <t>What Army</t>
  </si>
  <si>
    <t>whatarmy.com</t>
  </si>
  <si>
    <t>Neal Quesnel</t>
  </si>
  <si>
    <t>+14135634310</t>
  </si>
  <si>
    <t>neal.quesnel@yahoo.com</t>
  </si>
  <si>
    <t>Zagaran</t>
  </si>
  <si>
    <t>zagaran.com</t>
  </si>
  <si>
    <t>Kevin Fan</t>
  </si>
  <si>
    <t>+17132485066</t>
  </si>
  <si>
    <t>kyangfan@gmail.com</t>
  </si>
  <si>
    <t>Right Point</t>
  </si>
  <si>
    <t>rightpoint.com</t>
  </si>
  <si>
    <t>Ronald Shamah</t>
  </si>
  <si>
    <t>+3059369880</t>
  </si>
  <si>
    <t>rshamah@gmail.com</t>
  </si>
  <si>
    <t>PR BY AC</t>
  </si>
  <si>
    <t>prbyac.com</t>
  </si>
  <si>
    <t>Ashley Corrado</t>
  </si>
  <si>
    <t>+16174160627</t>
  </si>
  <si>
    <t>ashley754@gmail.com</t>
  </si>
  <si>
    <t>Insegment</t>
  </si>
  <si>
    <t>insegment.com</t>
  </si>
  <si>
    <t>Mia Stroud</t>
  </si>
  <si>
    <t>Glasgow, Scotland, United Kingdom</t>
  </si>
  <si>
    <t>+1 813-500-7113</t>
  </si>
  <si>
    <t>mstroud324@gmail.com</t>
  </si>
  <si>
    <t>Go Together</t>
  </si>
  <si>
    <t>gotogether.agency</t>
  </si>
  <si>
    <t>Adam Chaloeicheep</t>
  </si>
  <si>
    <t>+1 312-519-6961</t>
  </si>
  <si>
    <t>achaloeicheep@gmail.com</t>
  </si>
  <si>
    <t>Way Digit</t>
  </si>
  <si>
    <t>waydigit.com</t>
  </si>
  <si>
    <t xml:space="preserve">Volodymyr Zabolotnyi </t>
  </si>
  <si>
    <t>Staten Island, New York, United States</t>
  </si>
  <si>
    <t>+380 93 943 7213</t>
  </si>
  <si>
    <t>volodzabwork@gmail.com</t>
  </si>
  <si>
    <t>Web Daytona, LLC</t>
  </si>
  <si>
    <t>https://www.webdaytona.com</t>
  </si>
  <si>
    <t>Gary Vela</t>
  </si>
  <si>
    <t xml:space="preserve">Winter Springs FL
Daytona Beach, FL, USA.
115 South Palmetto Ave Daytona Beach, FL 32114 </t>
  </si>
  <si>
    <t xml:space="preserve">
+1 386-405-4281</t>
  </si>
  <si>
    <t>gary@webdaytona.com</t>
  </si>
  <si>
    <t>Web Studio Florida</t>
  </si>
  <si>
    <t>https://webstudioflorida.com/</t>
  </si>
  <si>
    <t>Himala Udalamatha Gamage</t>
  </si>
  <si>
    <t>85 Hollow Branch Rd
Apopka, FL 32703</t>
  </si>
  <si>
    <t>+1 (239) 900-0903
+1 239-595-9764</t>
  </si>
  <si>
    <t>himala@webstudioflorida.com 
himala@newkirk-engineering.com 
himala@cyberneticnetworks.com</t>
  </si>
  <si>
    <t xml:space="preserve">Web Studio DM LLC </t>
  </si>
  <si>
    <t>https://websdm.us/</t>
  </si>
  <si>
    <t>Denys Malakhov</t>
  </si>
  <si>
    <t>North Miami Beach, Florida, United States
MALAKHOV, DENYS
18555 COLLINS AVENUE
5505
SUNNY ISLES, FL 33160</t>
  </si>
  <si>
    <t>+1(954) 998-8888</t>
  </si>
  <si>
    <t>dm@websdm.us 
mdv786@yahoo.com</t>
  </si>
  <si>
    <t>Web Market Florida</t>
  </si>
  <si>
    <t>webmarketflorida.com
https://washeen.com/</t>
  </si>
  <si>
    <t>Washeen Alagiyawadu</t>
  </si>
  <si>
    <t>2750 TAYLOR AVENUE, SUITE A-26
ORLANDO, FL 32806</t>
  </si>
  <si>
    <t>+1 (407) 446-2602</t>
  </si>
  <si>
    <t>contact@washeen.com</t>
  </si>
  <si>
    <t>Benedict Advertising</t>
  </si>
  <si>
    <t>benedictadvertising.com</t>
  </si>
  <si>
    <t>Michael Benedict</t>
  </si>
  <si>
    <t xml:space="preserve">
640 North Peninsula Drive, 
Daytona Beach, FL 
32118</t>
  </si>
  <si>
    <t xml:space="preserve">
+1 3862551222</t>
  </si>
  <si>
    <t>benedict@zgraph.com
michael@benedictadvertising.com</t>
  </si>
  <si>
    <t xml:space="preserve">Ajroni Web Agency </t>
  </si>
  <si>
    <t>https://ajroni.com/</t>
  </si>
  <si>
    <t>Lirim Ajroni</t>
  </si>
  <si>
    <t xml:space="preserve"> West Palm Beach, FL</t>
  </si>
  <si>
    <t>+1 (561) 452 - 8513</t>
  </si>
  <si>
    <t>lirim@ajroni.com
ajronienterprises@hotmail.com</t>
  </si>
  <si>
    <t>Daddy Design</t>
  </si>
  <si>
    <t xml:space="preserve">
daddydesign.com</t>
  </si>
  <si>
    <t xml:space="preserve">Ryan Steinhardt </t>
  </si>
  <si>
    <t>Street:
501 NE 5TH TER APT 518
City:
FORT LAUDERDALE
State:
FL
Postal Code:
33301-1797
Country:
US</t>
  </si>
  <si>
    <t xml:space="preserve">
+1.4072279377</t>
  </si>
  <si>
    <t xml:space="preserve">
ryan@daddydesign.com
ryansteinhardt@gmail.com</t>
  </si>
  <si>
    <t xml:space="preserve">
Florida Web Design</t>
  </si>
  <si>
    <t>https://flawebdesign.us/</t>
  </si>
  <si>
    <t xml:space="preserve">
Rocco Kalas</t>
  </si>
  <si>
    <t>Street:
420 N Blue Lake Terrace
City:
Deland
State:
FL
Postal Code:
32724
Country:
US</t>
  </si>
  <si>
    <t xml:space="preserve">
+1.3863074435</t>
  </si>
  <si>
    <t>kalasrocoo@yahoo.com</t>
  </si>
  <si>
    <t>Oviedo Web Design</t>
  </si>
  <si>
    <t>https://oviedowebdesign.com/</t>
  </si>
  <si>
    <t>Matt Hartwell</t>
  </si>
  <si>
    <t>Street:
268 GALA CIR
City:
DAYTONA BEACH
State:
FL
Postal Code:
32124-2012
Country:
US</t>
  </si>
  <si>
    <t xml:space="preserve">
+1.3862819381</t>
  </si>
  <si>
    <t>MHARTWELL.DD@GMAIL.COM</t>
  </si>
  <si>
    <t>Web Miami</t>
  </si>
  <si>
    <t>https://webmiami.com/</t>
  </si>
  <si>
    <t>Ivan Ramirez</t>
  </si>
  <si>
    <t xml:space="preserve">Miami, Florida, United States </t>
  </si>
  <si>
    <t>+13053030074</t>
  </si>
  <si>
    <t>ivan@webmiami.com
ivrsell@gmail.com</t>
  </si>
  <si>
    <t>Web Propeller</t>
  </si>
  <si>
    <t>https://webpropeller.com</t>
  </si>
  <si>
    <t>Landon Cahow</t>
  </si>
  <si>
    <t xml:space="preserve">Boca Raton, Florida, United States </t>
  </si>
  <si>
    <t>landoncahow@gmail.com
landon@redzephyrdesign.com</t>
  </si>
  <si>
    <t>Concepta Tech</t>
  </si>
  <si>
    <t>conceptatech.com</t>
  </si>
  <si>
    <t>Leo Farias</t>
  </si>
  <si>
    <t xml:space="preserve">Orlando, Florida, United States </t>
  </si>
  <si>
    <t>+1(407) 982-1811, 
+1.4074127470 
and +1(321) 663-1363</t>
  </si>
  <si>
    <t>admin@weorlando.com
leokcta@gmail.com
leo@conceptatech.com</t>
  </si>
  <si>
    <t>Stream Companies</t>
  </si>
  <si>
    <t>streamcompanies.com</t>
  </si>
  <si>
    <t>David Regn</t>
  </si>
  <si>
    <t xml:space="preserve"> Greater Philadelphia </t>
  </si>
  <si>
    <t xml:space="preserve">+1.6103639005 
+1.6106448637. </t>
  </si>
  <si>
    <t>david@streamcompanies.com
davidregn@gmail.com</t>
  </si>
  <si>
    <t>Outsmart Labs</t>
  </si>
  <si>
    <t>outsmartlabs.com</t>
  </si>
  <si>
    <t>David. Azar</t>
  </si>
  <si>
    <t>+1.7863517154
+1.3056713504</t>
  </si>
  <si>
    <t xml:space="preserve"> davidazar4@hotmail.com
d@monabar.com
david@outsmartlabs.com.</t>
  </si>
  <si>
    <t>That Agency</t>
  </si>
  <si>
    <t>https://thatagency.com/</t>
  </si>
  <si>
    <t>Bill Teubner</t>
  </si>
  <si>
    <t xml:space="preserve">Canon City, Colorado, United States </t>
  </si>
  <si>
    <t>+1.5618326262</t>
  </si>
  <si>
    <t>bteubner@thatagency.com
bill@thatagency.com</t>
  </si>
  <si>
    <t>Market My Market</t>
  </si>
  <si>
    <t>https://www.marketmymarket.com/</t>
  </si>
  <si>
    <t>Ryan Klein</t>
  </si>
  <si>
    <t xml:space="preserve">Charlotte, North Carolina, United States </t>
  </si>
  <si>
    <t>+1.6468448444, +1.9546757140, +1.9545091900 and +1.9546751916</t>
  </si>
  <si>
    <t xml:space="preserve">rklein@marketmymarket.com
ryan@marketmymarket.com
rklein@bakerzimmerman.com
ryan@thelocalagency.net
ryan.ssp@gmail.com
duest55@hotmail.com
</t>
  </si>
  <si>
    <t>Tavano Team</t>
  </si>
  <si>
    <t>https://tavanoteam.com</t>
  </si>
  <si>
    <t>Diego Isola</t>
  </si>
  <si>
    <t>Miami, Florida, United States</t>
  </si>
  <si>
    <t>5-982-601-2704, 2019845580, +598.94525093 and 2016300324</t>
  </si>
  <si>
    <t xml:space="preserve"> diego.isola@gmail.com
 diego@tavanoteam.com</t>
  </si>
  <si>
    <t>321 The Agency</t>
  </si>
  <si>
    <t xml:space="preserve">
    http://www.321theagency.com</t>
  </si>
  <si>
    <t>Joe Boutin</t>
  </si>
  <si>
    <t>Greater Orlando</t>
  </si>
  <si>
    <t>+1.3214313313
 +1.4075836427</t>
  </si>
  <si>
    <t xml:space="preserve"> jboutin@three21creative.com</t>
  </si>
  <si>
    <t>Digital Resource</t>
  </si>
  <si>
    <t>https://www.yourdigitalresource.com/</t>
  </si>
  <si>
    <t>Shay Berman</t>
  </si>
  <si>
    <t>West Palm Beach, Florida, United States</t>
  </si>
  <si>
    <t>+1.2489903179</t>
  </si>
  <si>
    <t>slhswrestler2009@yahoo.com, yourdigitalresource@gmail.com, landscapesolutionsmi@gmail.com, shayaberman@gmail.com, shay@yourdigitalresource.com</t>
  </si>
  <si>
    <t>GreenHouse Agency</t>
  </si>
  <si>
    <t>https://ghagency.com</t>
  </si>
  <si>
    <t>Caleb Edwards</t>
  </si>
  <si>
    <t>Lake Mary, Florida, United States</t>
  </si>
  <si>
    <t>+1.4077544339</t>
  </si>
  <si>
    <t xml:space="preserve"> calebedw@gmail.com, caleb@thegreenhouseagency.com, caleb@ghsocialmedia.com, caleb@ghagency.com</t>
  </si>
  <si>
    <t>BigBinary</t>
  </si>
  <si>
    <t>http://bigbinary.com/</t>
  </si>
  <si>
    <t>Neeraj Singh</t>
  </si>
  <si>
    <t>+1.2406839191, +1.7867631059, 
(703) 651-6953 and 3012753997</t>
  </si>
  <si>
    <t>neerajdotname@gmail.com, neeraj.cmu@gmail.com, neerajsingh.miami@gmail.com or neeraj.singh@bigbinary.com</t>
  </si>
  <si>
    <t>Intrepy Healthcare Marketing</t>
  </si>
  <si>
    <t>https://intrepy.com</t>
  </si>
  <si>
    <t>Justin Knott</t>
  </si>
  <si>
    <t xml:space="preserve">Greater Orlando </t>
  </si>
  <si>
    <t>(770) 742-8513 (Work), 
678-250-4757 and 
+1.3213884972</t>
  </si>
  <si>
    <t xml:space="preserve"> jdknott79@gmail.com and justin@intrepy.com</t>
  </si>
  <si>
    <t>Velocitas Interactive Marketing + Public Relations</t>
  </si>
  <si>
    <t>velocitas.com</t>
  </si>
  <si>
    <t>Patricia Beitler</t>
  </si>
  <si>
    <t>(305) 610-8692, (305) 728-5365, +1.3052690667, +0.3052857335 and 305-735-9845.</t>
  </si>
  <si>
    <t>patricia@chief.com</t>
  </si>
  <si>
    <t>DAMN GOOD AGENCY</t>
  </si>
  <si>
    <t>https://damngood.agency/</t>
  </si>
  <si>
    <t>Gavin Robin</t>
  </si>
  <si>
    <t>Delray Beach, Florida, United States</t>
  </si>
  <si>
    <t>+1561.266.0127</t>
  </si>
  <si>
    <t>gavin@dgcg.us
 gavin@damngood.agency</t>
  </si>
  <si>
    <t>People, Technology &amp; Processes, LLC</t>
  </si>
  <si>
    <t>https://www.ptp-llc.com/</t>
  </si>
  <si>
    <t>Victor Buonamia</t>
  </si>
  <si>
    <t>Alturas, Florida, United States</t>
  </si>
  <si>
    <t>8134980486 and 
(863) 943-4300</t>
  </si>
  <si>
    <t xml:space="preserve"> vbuonamia@yahoo.com 
victor@ptp-llc.com</t>
  </si>
  <si>
    <t>Appleton Creative</t>
  </si>
  <si>
    <t>https://www.appletoncreative.com/</t>
  </si>
  <si>
    <t>Diana Larue</t>
  </si>
  <si>
    <t>Orlando, Florida, United States</t>
  </si>
  <si>
    <t>407-246-0092 x 8 
407) 246-0092
40724600928
407-748-2943</t>
  </si>
  <si>
    <t>diana@avidneogeo.com
diana@appletoncreative.com
dianalarue@aol.com</t>
  </si>
  <si>
    <t>Zillas</t>
  </si>
  <si>
    <t>https://www.designzillas.com</t>
  </si>
  <si>
    <t>Johnny Hughes</t>
  </si>
  <si>
    <t>(813) 205-5259, +1.4072225021 and 8132492391</t>
  </si>
  <si>
    <t>jhughes28@gmail.com 
johnny@designzillas.com</t>
  </si>
  <si>
    <t>Big Sea</t>
  </si>
  <si>
    <t>https://bigsea.co/</t>
  </si>
  <si>
    <t>Andi Graham</t>
  </si>
  <si>
    <t>Saint Petersburg, Florida, United States</t>
  </si>
  <si>
    <t>727-386-8031
1.7273868031
1.3522221747
1.6174842407
727.386.8031
727.418.4351</t>
  </si>
  <si>
    <t>andi@bigsea.co
andigraham@gmail.com</t>
  </si>
  <si>
    <t>emagineHealth</t>
  </si>
  <si>
    <t>https://www.emagineHealth.com</t>
  </si>
  <si>
    <t xml:space="preserve">Bill Gadless </t>
  </si>
  <si>
    <t>Boca Raton, FL, US</t>
  </si>
  <si>
    <t>508-415-6119
781-828-4405
864-275-3810
601-506-3006
781-828-4500
877-530-7993</t>
  </si>
  <si>
    <t>bill@emagine.com
bgadless@gmail.com</t>
  </si>
  <si>
    <t>Digital Edge Marketing Agency</t>
  </si>
  <si>
    <t>digitaledge.marketing</t>
  </si>
  <si>
    <t>Mya Surrency</t>
  </si>
  <si>
    <t>Jacksonville, Florida, United States</t>
  </si>
  <si>
    <t>904-982-4915
+17086016666  
+19049824915.</t>
  </si>
  <si>
    <t>myammc@gmail.com
ogel.henry@hotmail.com
mya@digitaledge.marketing</t>
  </si>
  <si>
    <t>RD Global Inc</t>
  </si>
  <si>
    <t>https://www.rdglobalinc.com/</t>
  </si>
  <si>
    <t>Rajesh Nambiar</t>
  </si>
  <si>
    <t>Boca Raton, Florida, United States</t>
  </si>
  <si>
    <t>+12014913221</t>
  </si>
  <si>
    <t>kks_raj@hotmail.com
rajesh.nambiar@rds-global.com</t>
  </si>
  <si>
    <t>Key Lime Interactive</t>
  </si>
  <si>
    <t>https://keylimeinteractive.com</t>
  </si>
  <si>
    <t>Ania Rodriguez</t>
  </si>
  <si>
    <t xml:space="preserve"> 3058042930
 9542592815</t>
  </si>
  <si>
    <t>ania76@hotmail.com
ania@keylimeinteractive.com 
 ania@journeytrack.io</t>
  </si>
  <si>
    <t>Cobuild Lab</t>
  </si>
  <si>
    <t>https://www.cobuildlab.com/</t>
  </si>
  <si>
    <t xml:space="preserve">Angel Lacret </t>
  </si>
  <si>
    <t>584141673303
786-991-3467</t>
  </si>
  <si>
    <t>alacret@cobuildlab.com
alacret@gmail.com</t>
  </si>
  <si>
    <t>OGK Creative</t>
  </si>
  <si>
    <t>http://ogkcreative.com</t>
  </si>
  <si>
    <t>Craig Kuperman
Project Man: Bianca Flamingo</t>
  </si>
  <si>
    <t>561-450-6721
+1.4077664473</t>
  </si>
  <si>
    <t>craig@theogk.com
craig@ogkcreative.com
 bianca_c_f@hotmail.com
bflamingo@thatagency.com</t>
  </si>
  <si>
    <t>DATSON360 LLC</t>
  </si>
  <si>
    <t>https://datson360.com/</t>
  </si>
  <si>
    <t>Headquarters
3800 Inverrary Blvd, Lauderhill, Florida 33319, US</t>
  </si>
  <si>
    <t>9154038153 and 9676549238</t>
  </si>
  <si>
    <t>kantumanish@gmail.com</t>
  </si>
  <si>
    <t>Levo Health</t>
  </si>
  <si>
    <t>https://levohealth.com/</t>
  </si>
  <si>
    <t>David Williams</t>
  </si>
  <si>
    <t>Tampa, Florida, United States</t>
  </si>
  <si>
    <t>(813) 503-2890</t>
  </si>
  <si>
    <t>david.mitchell.williams@gmail.com
david@levohealth.com</t>
  </si>
  <si>
    <t>REMIXED® // the branding agency</t>
  </si>
  <si>
    <t>https://r3mx.com/</t>
  </si>
  <si>
    <t>Doug Berger</t>
  </si>
  <si>
    <t>Orlando, Florida, United States
View Doug Berger's Email &amp; Phone Number</t>
  </si>
  <si>
    <t>+1.4072837369, +1.4074432843 and +1.3213563370
1.4072837369</t>
  </si>
  <si>
    <t>doug@r3mx.com
dougberger@gmail.com</t>
  </si>
  <si>
    <t>Reputation Ink</t>
  </si>
  <si>
    <t>rep-ink.com</t>
  </si>
  <si>
    <t>Michelle Calcote King</t>
  </si>
  <si>
    <t>Jacksonville, Florida</t>
  </si>
  <si>
    <t>(904) 305-5979, (904) 712-3258, (205) 335-2238 and (904) 374-5733</t>
  </si>
  <si>
    <t>michelle@reputationcap.com, stemicking@yahoo.com and michelle@rep-ink.com</t>
  </si>
  <si>
    <t>Curious Jane</t>
  </si>
  <si>
    <t>curiousjane.com</t>
  </si>
  <si>
    <t xml:space="preserve">Chris Antley </t>
  </si>
  <si>
    <t>2063 High Vista Dr, Lakeland, Fl 33813-3074</t>
  </si>
  <si>
    <t>(863) 607-6262
(863) 646-2488
(205) 381-7441</t>
  </si>
  <si>
    <t>csantley@msn.com
cantley@curiousjane.com</t>
  </si>
  <si>
    <t>Simply The Best</t>
  </si>
  <si>
    <t>https://simplythebestdigital.com/</t>
  </si>
  <si>
    <t xml:space="preserve">Adam Goodkin </t>
  </si>
  <si>
    <t>adam@goodpresspublishing.com
adam@simplythebestdigital.com</t>
  </si>
  <si>
    <t>ABCW</t>
  </si>
  <si>
    <t>https://www.abcw.global/en/</t>
  </si>
  <si>
    <t>Hernan Dillon Noval</t>
  </si>
  <si>
    <t xml:space="preserve">
86619248
352-855-1583
86619247</t>
  </si>
  <si>
    <t>hernan@abcw.global
hernannoval@gmail.com</t>
  </si>
  <si>
    <t xml:space="preserve">Brandcoders </t>
  </si>
  <si>
    <t>https://brandcoders.com/</t>
  </si>
  <si>
    <t>Dimitri Constantine</t>
  </si>
  <si>
    <t>+14074943425</t>
  </si>
  <si>
    <t>dimitri@brandcoders.com</t>
  </si>
  <si>
    <t>RewardLion</t>
  </si>
  <si>
    <t>http://www.rewardlion.com</t>
  </si>
  <si>
    <t>Mike Ibrahim</t>
  </si>
  <si>
    <t>5628040134
15613581476</t>
  </si>
  <si>
    <t>snswirelesstampa@gmail.com
mike@rewardlion.com</t>
  </si>
  <si>
    <t xml:space="preserve"> TrendyMinds
</t>
  </si>
  <si>
    <t>https://trendyminds.com/</t>
  </si>
  <si>
    <t>Trevor Yager</t>
  </si>
  <si>
    <t>St. Petersburg, Florida, United States</t>
  </si>
  <si>
    <t>+1.3179729270, +1.3179261727 and 317-955-8959
3174965006</t>
  </si>
  <si>
    <t>tyager@trendyminds.com
webmaster@tmgraphics.com
y.trevor@trevoryager.com
y.trevor@unihausdesign.com</t>
  </si>
  <si>
    <t>Samba Rock</t>
  </si>
  <si>
    <t>https://www.sambarock.us/</t>
  </si>
  <si>
    <t>Valter Klug</t>
  </si>
  <si>
    <t xml:space="preserve">Miami, Florida, United States
</t>
  </si>
  <si>
    <t>+1.1137356746, +1.7866605707 and +1.3053361164</t>
  </si>
  <si>
    <t>valter.klug@forbesbusinesscouncil.com
valter.klug@gmail.com</t>
  </si>
  <si>
    <t>Pacific54</t>
  </si>
  <si>
    <t>pacific54.com</t>
  </si>
  <si>
    <t>Avi C</t>
  </si>
  <si>
    <t>+1.3054571090 and 305.515.5473.</t>
  </si>
  <si>
    <t>c.aviram@gmail.com 
avi@pacific54.com</t>
  </si>
  <si>
    <t>Studio Two</t>
  </si>
  <si>
    <t>https://StudioTwo.com</t>
  </si>
  <si>
    <t>Kevin Sprague</t>
  </si>
  <si>
    <t>+1.4136371374 and +1.4136379820</t>
  </si>
  <si>
    <t>k2pro@aol.com
kevin@studiotwo.com</t>
  </si>
  <si>
    <t>HighMinded Agency</t>
  </si>
  <si>
    <t>https://highmindedagency.com/</t>
  </si>
  <si>
    <t>Daniel Timiraos</t>
  </si>
  <si>
    <t>+13059517707</t>
  </si>
  <si>
    <t>dt@highmindedagency.com
dannytimiraos@gmail.com</t>
  </si>
  <si>
    <t>Digital Neighbor - SEO Agency</t>
  </si>
  <si>
    <t>https://digitalneighbor.com/</t>
  </si>
  <si>
    <t>Eric Ritter</t>
  </si>
  <si>
    <t>+1.8137777266.</t>
  </si>
  <si>
    <t>mainz05@mac.com
 eric.ritter@forbesbusinesscouncil.com</t>
  </si>
  <si>
    <t>561 Media</t>
  </si>
  <si>
    <t>http://www.561media.com</t>
  </si>
  <si>
    <t>Daniel Giordano</t>
  </si>
  <si>
    <t>+850.9608646, +1.5617037604, +1.5619649770, +1.8006430804 and +1.5615941750</t>
  </si>
  <si>
    <t>dan@danielgiordano.com
dangiordano2@gmail.com
dan@30daysto10k.com 
dan@561media.com</t>
  </si>
  <si>
    <t>Design Ocean</t>
  </si>
  <si>
    <t>https://designocean.us</t>
  </si>
  <si>
    <t>Andrew Taylor</t>
  </si>
  <si>
    <t>Street:
1160 Battery Street East
Suites 100
City:
San Francisco
State:
California
Postal Code:
94111</t>
  </si>
  <si>
    <t xml:space="preserve">
+1.3476703050</t>
  </si>
  <si>
    <t>inbox.andrew@@hotmail.com</t>
  </si>
  <si>
    <t>Zgraph</t>
  </si>
  <si>
    <t>http://www.zgraph.com/</t>
  </si>
  <si>
    <t xml:space="preserve">
Bill Zachary</t>
  </si>
  <si>
    <t>Name:
Bill Zachary
Street:
140 South Beach Street Suite 104
City:
Daytona Beach
State:
FL
Postal Code:
32114</t>
  </si>
  <si>
    <t xml:space="preserve">
+1.3862555556</t>
  </si>
  <si>
    <t>billz@zgraph.com</t>
  </si>
  <si>
    <t>Market 8</t>
  </si>
  <si>
    <t>http://www.market8.net/</t>
  </si>
  <si>
    <t>Eduardo Esparza</t>
  </si>
  <si>
    <t xml:space="preserve"> Atlanta, Georgia, United States</t>
  </si>
  <si>
    <t>678-458-1486</t>
  </si>
  <si>
    <t>eesparzar@gmail.com
eduardo@market8.net.</t>
  </si>
  <si>
    <t>Client Expander – Interior Design Marketing</t>
  </si>
  <si>
    <t>https://clientexpander.com/</t>
  </si>
  <si>
    <t>Ken Lewis</t>
  </si>
  <si>
    <t>Palm Beach Gardens, Florida, United States</t>
  </si>
  <si>
    <t>+15187551622 and +17608488289</t>
  </si>
  <si>
    <t>klewis7945@aol.com
ken@clientexpander.com</t>
  </si>
  <si>
    <t>Varfaj Ventures</t>
  </si>
  <si>
    <t>https://varfaj.com/</t>
  </si>
  <si>
    <t>David Conforti</t>
  </si>
  <si>
    <t xml:space="preserve">
(617) 398-6044</t>
  </si>
  <si>
    <t>dbc320@nyu.edu 
david@varfaj.com</t>
  </si>
  <si>
    <t xml:space="preserve">
XeoDev</t>
  </si>
  <si>
    <t>https://www.xeodev.com/</t>
  </si>
  <si>
    <t>Ramy Fanous</t>
  </si>
  <si>
    <t xml:space="preserve"> Greater Orlando</t>
  </si>
  <si>
    <t>+1.4076079229</t>
  </si>
  <si>
    <t>ramy_fanous@yahoo.com
ramy@xeodev.com</t>
  </si>
  <si>
    <t>HIP Creative</t>
  </si>
  <si>
    <t>http://hip.agency</t>
  </si>
  <si>
    <t>Luke Infinger</t>
  </si>
  <si>
    <t xml:space="preserve">Pensacola, Florida, United States </t>
  </si>
  <si>
    <t>lukeinf86@gmail.com</t>
  </si>
  <si>
    <t>CF Creative</t>
  </si>
  <si>
    <t>cf-creative.com</t>
  </si>
  <si>
    <t>Conchie Fernandez</t>
  </si>
  <si>
    <t xml:space="preserve"> +1.7862780818</t>
  </si>
  <si>
    <t>conchie@gmail.com
info@cf-creative.com</t>
  </si>
  <si>
    <t>BMG Creative</t>
  </si>
  <si>
    <t>bmgcreative.com</t>
  </si>
  <si>
    <t>Douglas Scott</t>
  </si>
  <si>
    <r>
      <rPr>
        <rFont val="Calibri"/>
        <color theme="1"/>
        <sz val="11.0"/>
      </rPr>
      <t xml:space="preserve">
754-229-2256
865-441-5157
</t>
    </r>
    <r>
      <rPr>
        <rFont val="Calibri"/>
        <b/>
        <color theme="1"/>
        <sz val="11.0"/>
      </rPr>
      <t xml:space="preserve">954-263-0669
954-255-8681
</t>
    </r>
    <r>
      <rPr>
        <rFont val="Calibri"/>
        <color theme="1"/>
        <sz val="11.0"/>
      </rPr>
      <t>754-229-2256</t>
    </r>
  </si>
  <si>
    <t xml:space="preserve">douglas.scott@bmgcreative.com
dscott@fortunemediagroupinc.com
douglasscott@gmail.com
</t>
  </si>
  <si>
    <t>Digital Mules</t>
  </si>
  <si>
    <t>http://www.digitalmules.com</t>
  </si>
  <si>
    <t>Fernando Clemente</t>
  </si>
  <si>
    <t>Florida, United States</t>
  </si>
  <si>
    <t>787-469-3954</t>
  </si>
  <si>
    <t>fclemente@mulemediainc.com
fernando@theadgoats.com
fclemente@charter.re
fernandoclemente@gmail.com</t>
  </si>
  <si>
    <t>HeyDay Marketing + PR</t>
  </si>
  <si>
    <t>http://www.heydaymarketing.com/</t>
  </si>
  <si>
    <t>Eduardo Moya</t>
  </si>
  <si>
    <t>+17865217645
+19562223629.</t>
  </si>
  <si>
    <t>lizdm02@yahoo.com 
emoya@heydaymarketing.com</t>
  </si>
  <si>
    <t>Red Rocket Studios</t>
  </si>
  <si>
    <t>https://redrocketstudios.com</t>
  </si>
  <si>
    <t>Chris Aten</t>
  </si>
  <si>
    <t>+14075390948 and +14076207106</t>
  </si>
  <si>
    <t>caten69@yahoo.com, chris@atenadvertising.com
chris@redrocketstudios.com</t>
  </si>
  <si>
    <t>Roar Media</t>
  </si>
  <si>
    <t>https://roarmedia.com/</t>
  </si>
  <si>
    <t xml:space="preserve">Jacques Hart </t>
  </si>
  <si>
    <t>(305) 403-2080, +1.3056066839, +1.8045195589 or 3055702362</t>
  </si>
  <si>
    <t>jacqueshart@gmail.com, jacques@roarmedia.com
jhart@roarmedia.com</t>
  </si>
  <si>
    <t>2TON</t>
  </si>
  <si>
    <t>https://www.2ton.com/</t>
  </si>
  <si>
    <t>Madeline Gorman</t>
  </si>
  <si>
    <t>561-603-3318.</t>
  </si>
  <si>
    <t>madelinegorman12@gmail.com
madeline@2ton.com</t>
  </si>
  <si>
    <t>Clear ph Design</t>
  </si>
  <si>
    <t>clearph.com</t>
  </si>
  <si>
    <t>Richard Hughes</t>
  </si>
  <si>
    <t>+1.4166408148, +1.9172707184 and 727.851.9596</t>
  </si>
  <si>
    <t>richiehughes@mac.com, kimhughes0583@yahoo.com, ashaleeka@yahoo.com, info@clearph.com and richardhughes@clearph.com</t>
  </si>
  <si>
    <t>Big Medium</t>
  </si>
  <si>
    <t>https://bigmedium.com/</t>
  </si>
  <si>
    <t>Josh Clark</t>
  </si>
  <si>
    <t>Name:
Clark, Josh
Street:
22 S PACK SQ STE 201
City:
Asheville
State:
NC
Postal Code:
28801-3505
Country:
US</t>
  </si>
  <si>
    <t xml:space="preserve">
+1.4013393381</t>
  </si>
  <si>
    <t>josh@bigmedium.com</t>
  </si>
  <si>
    <t>Tegra Design</t>
  </si>
  <si>
    <t>http://www.tegradesign.com</t>
  </si>
  <si>
    <t>Nazr Irfan</t>
  </si>
  <si>
    <t xml:space="preserve"> +16122323273 and +15717899343</t>
  </si>
  <si>
    <t>nazr.irfan@gmail.com</t>
  </si>
  <si>
    <t>Launch Titans</t>
  </si>
  <si>
    <t>http://launchtitans.com</t>
  </si>
  <si>
    <t>Anthony Accetturo</t>
  </si>
  <si>
    <t>Greater Tampa Bay Area</t>
  </si>
  <si>
    <t>+1.7329383999 and 6096188909</t>
  </si>
  <si>
    <t>accetturo@gmail.com anthony@launchtitans.com</t>
  </si>
  <si>
    <t>Camber–The App Agency</t>
  </si>
  <si>
    <t>cmbr.co</t>
  </si>
  <si>
    <t xml:space="preserve">Ryan Smith </t>
  </si>
  <si>
    <t>+16199224459
+12818407912.</t>
  </si>
  <si>
    <t>dwn2776@hotmail.com
ryan.smith@cmbr.co</t>
  </si>
  <si>
    <t>Sobefy</t>
  </si>
  <si>
    <t>https://www.sobefy.com/</t>
  </si>
  <si>
    <t>Oscar Diaz</t>
  </si>
  <si>
    <t>Miami Beach, Florida, United States</t>
  </si>
  <si>
    <t>+1.3055080788, +1.7865166660 and 3059624782</t>
  </si>
  <si>
    <t>osquid86@hotmail.com, starseedsmarketing@gmail.com, oscardiazserrat@gmail.com, odiaz@dryeyerescuepro.com</t>
  </si>
  <si>
    <t>PATHOS</t>
  </si>
  <si>
    <t>https://wearepathos.com/</t>
  </si>
  <si>
    <t>Ryan Fukushima</t>
  </si>
  <si>
    <t xml:space="preserve">Greater Chicago Area </t>
  </si>
  <si>
    <t>+1.3127844400</t>
  </si>
  <si>
    <t>fukushima.ryan@gmail.com
ryan@tempus.com</t>
  </si>
  <si>
    <t>PK Information Systems</t>
  </si>
  <si>
    <t>http://pkinformation.com</t>
  </si>
  <si>
    <t>Justin Ruzinok</t>
  </si>
  <si>
    <t>+17274091609
+17275152145</t>
  </si>
  <si>
    <t xml:space="preserve"> justin@pkinformation.com
phillipkurpe@icloud.com</t>
  </si>
  <si>
    <t>iluma Agency</t>
  </si>
  <si>
    <t>http://www.ilumaagency.com</t>
  </si>
  <si>
    <t>Aaron Lee</t>
  </si>
  <si>
    <t>Woodstock, Georgia, United States</t>
  </si>
  <si>
    <t>(305) 851-8112, +15619673390, +17025640855, 3054487450146 or 7862104894</t>
  </si>
  <si>
    <t>lisawaldorf@live.com aaron@illuminatistudios.com aaron@ilumaagency.com
aaron@aleedesign.com.</t>
  </si>
  <si>
    <t>Digital Next</t>
  </si>
  <si>
    <t>http://digitalnext.com</t>
  </si>
  <si>
    <t>Ahmet Asar</t>
  </si>
  <si>
    <t>Greater Chicago Area</t>
  </si>
  <si>
    <t xml:space="preserve"> +1.2246539595 and (847) 885-5870</t>
  </si>
  <si>
    <t>ahmetasar@live.com
palmtreeint@gmail.com</t>
  </si>
  <si>
    <t>Station Four</t>
  </si>
  <si>
    <t>https://www.stationfour.com</t>
  </si>
  <si>
    <t>Chris Lahey</t>
  </si>
  <si>
    <t>Metro Jacksonville</t>
  </si>
  <si>
    <t>+19043862207, +13522625918 and (904) 607-0026</t>
  </si>
  <si>
    <t>christopherlahey@gmail.com
laheyc@stationfour.com</t>
  </si>
  <si>
    <t xml:space="preserve">ICVM Hawk </t>
  </si>
  <si>
    <t>https://www.icvmhawk.com</t>
  </si>
  <si>
    <t>Stephen Krain</t>
  </si>
  <si>
    <t>St Augustine, Florida, United States</t>
  </si>
  <si>
    <t>+1.9044500874, +1.9043370609 and +1.9043561110</t>
  </si>
  <si>
    <t>stephenkrain@gmail.com  stephen.krain@gmail.com</t>
  </si>
  <si>
    <t>Atilus</t>
  </si>
  <si>
    <t>http://www.atilus.com</t>
  </si>
  <si>
    <t>Harry Casimir</t>
  </si>
  <si>
    <t xml:space="preserve">Bonita Springs, Florida, United States
</t>
  </si>
  <si>
    <t>(239) 645-4083, +1.2393323020, +0.2393621271 and (239) 580-9730</t>
  </si>
  <si>
    <t>soleil691@yahoo.com</t>
  </si>
  <si>
    <t>5ivecanons | Creative Marketing and Advertising</t>
  </si>
  <si>
    <t>www.5ivecanons.com</t>
  </si>
  <si>
    <t>Nicole Mckinnonjacobs</t>
  </si>
  <si>
    <t>5ivecanons | Jacksonville, Florida, United States</t>
  </si>
  <si>
    <t>9043532900,
 7869250131 
 9548764923</t>
  </si>
  <si>
    <t>nmckinnon091@gmail.com
nicole@5ivecanons.com</t>
  </si>
  <si>
    <t>Starr Enterprises</t>
  </si>
  <si>
    <t>http://www.starrenterprises.com</t>
  </si>
  <si>
    <t>Bj Starr</t>
  </si>
  <si>
    <t>Phoenix, Arizona, United States</t>
  </si>
  <si>
    <t>+19544919969 and 
(602) 276 9246</t>
  </si>
  <si>
    <t>bjstarr@cox.net
bj@kirkelliotthome.com</t>
  </si>
  <si>
    <t>Magnetic</t>
  </si>
  <si>
    <t>http://www.Magnetic.com</t>
  </si>
  <si>
    <t>Jenny Burns</t>
  </si>
  <si>
    <t>London, England, United Kingdom</t>
  </si>
  <si>
    <t>07880 312754</t>
  </si>
  <si>
    <t>jennyburns55@googlemail.com, jenny.burns@fluxx.uk.com,
jenny.burns@wearemagnetic.com</t>
  </si>
  <si>
    <t>Seychelle Media</t>
  </si>
  <si>
    <t>http://www.seychellemedia.com</t>
  </si>
  <si>
    <t>Brooke Tremblay</t>
  </si>
  <si>
    <t>+14073250294</t>
  </si>
  <si>
    <t>brookedoucha@gmail.com
brooke@seychellemedia.com</t>
  </si>
  <si>
    <t>ThinkPod Agency</t>
  </si>
  <si>
    <t>http://www.thinkpodagency.com</t>
  </si>
  <si>
    <t>Aubrey Burkhart</t>
  </si>
  <si>
    <t>+15743642816, +15743704383, +15745352445 or 5742932481</t>
  </si>
  <si>
    <t>aubreyburkhart@comcast.net
hello@thinkpodagency.com</t>
  </si>
  <si>
    <t xml:space="preserve">Resolve Digital </t>
  </si>
  <si>
    <t>https://resolve.digital</t>
  </si>
  <si>
    <t>David Hemmat</t>
  </si>
  <si>
    <t>+1.8092414463 and +18295489782</t>
  </si>
  <si>
    <t>dhemmat@gmail.com, 
riazhack@gmail.com 
david.hemmat@resolve.digital</t>
  </si>
  <si>
    <t>Enspire Creative Agency</t>
  </si>
  <si>
    <t>http://enspirecreative.com</t>
  </si>
  <si>
    <t>Adam Lawrence</t>
  </si>
  <si>
    <t>Lancaster, Pennsylvania, United States</t>
  </si>
  <si>
    <t>+1.3152439855, 2026640885 and 2022615000</t>
  </si>
  <si>
    <t>thawk23@gmail.com
adamdustinlawrence@gmail.com
adam@enspirecreative.com</t>
  </si>
  <si>
    <t>TabithaNaylor.com</t>
  </si>
  <si>
    <t>http://tabithanaylor.com/</t>
  </si>
  <si>
    <t>Tabitha Naylor</t>
  </si>
  <si>
    <t>Pompano Beach, Florida, United States</t>
  </si>
  <si>
    <t>703-342-6883</t>
  </si>
  <si>
    <t>tabithajnaylor@gmail.com
 tabitha@tabithanaylor.com</t>
  </si>
  <si>
    <t>Think Agency</t>
  </si>
  <si>
    <t>https://www.thinkagency.com/</t>
  </si>
  <si>
    <t xml:space="preserve">
Michael Bimonte</t>
  </si>
  <si>
    <t>+12034686255 and +19702105666</t>
  </si>
  <si>
    <t>toyota65@sbcglobal.net 
 m.bimonte@thinkagency.com</t>
  </si>
  <si>
    <t>C3 Media</t>
  </si>
  <si>
    <t>http://c3medianetwork.com</t>
  </si>
  <si>
    <t>Chris Koch</t>
  </si>
  <si>
    <t>Tampa/St. Petersburg, Florida</t>
  </si>
  <si>
    <t>813-263-7275</t>
  </si>
  <si>
    <t>chrisk@c3medianetwork.com
ckoch4@tampabay.rr.com</t>
  </si>
  <si>
    <t>RAM Agency</t>
  </si>
  <si>
    <t xml:space="preserve">
ramagency.us</t>
  </si>
  <si>
    <t xml:space="preserve">
Ryan McGowan</t>
  </si>
  <si>
    <t>Street:
10311 NW 48TH CT
City:
Coral Springs
State:
FL
Postal Code:
33076
Country:
US</t>
  </si>
  <si>
    <t xml:space="preserve">
+1.9544222232</t>
  </si>
  <si>
    <t>ryan mcgowan313@gmail.com</t>
  </si>
  <si>
    <t>Local Management</t>
  </si>
  <si>
    <t>https://www.localmanagement.us/</t>
  </si>
  <si>
    <t>Christine Culverhouse</t>
  </si>
  <si>
    <t xml:space="preserve"> Dale County, Alabama, United States</t>
  </si>
  <si>
    <t>nobletaxservice@gmail.com
christine@localmanagement.us</t>
  </si>
  <si>
    <t>Phoenix Design Works</t>
  </si>
  <si>
    <t>phoenixdesignworks.com</t>
  </si>
  <si>
    <t>Amy Skiles</t>
  </si>
  <si>
    <t>212-253-8585 and 9736004901</t>
  </si>
  <si>
    <t>ajskiles@verizon.net, pastrychick@comcast.net, amyskiles@netzero.net, amy.skiles@msn.com, ajskiles@yahoo.com, ajskiles@comcast.net, amy@phoenixdesignworks.com</t>
  </si>
  <si>
    <t>Global Concept Agency</t>
  </si>
  <si>
    <t>globalconceptagency.com</t>
  </si>
  <si>
    <t>Hugo Reyes</t>
  </si>
  <si>
    <t>Street:
calle 86 52 98
City:
Barranquilla
State:
Alabama
Postal Code:
08001000
Country:
US</t>
  </si>
  <si>
    <t>+57.3146925063</t>
  </si>
  <si>
    <t>hugoreyes@hotmail.com</t>
  </si>
  <si>
    <t>Marketing Expert Agency</t>
  </si>
  <si>
    <t>https://www.marketingexpertagency.com/</t>
  </si>
  <si>
    <t>Jose Fang</t>
  </si>
  <si>
    <t>+1 (305)-846-6292</t>
  </si>
  <si>
    <t>marketingexpertagency@hotmail.com,
jose@marketingexpertagency.com</t>
  </si>
  <si>
    <t>Hooah LLC.</t>
  </si>
  <si>
    <t>http://www.hooah.cc</t>
  </si>
  <si>
    <t>Melody Mcmillian</t>
  </si>
  <si>
    <t xml:space="preserve">Orlando, Florida Area
</t>
  </si>
  <si>
    <t>melodymcmillian@gmail.com, 
mcmillian44@yahoo.com, melody@mastersoftware.nl</t>
  </si>
  <si>
    <t>Captivation Agency</t>
  </si>
  <si>
    <t>https://captivation.agency</t>
  </si>
  <si>
    <t>Jim Martin</t>
  </si>
  <si>
    <t>Sarasota, Florida, United States</t>
  </si>
  <si>
    <t>+1.19415649328, +1.9413506680, +1.9419213785, 941-485-0507 and (888) 456-2083</t>
  </si>
  <si>
    <t>jamesmartindesign@gmail.com, jim@captivationmedia.com, jim@captivation.agency</t>
  </si>
  <si>
    <t>Adwire Media</t>
  </si>
  <si>
    <t>http://www.adwiremedia.com</t>
  </si>
  <si>
    <t>Mark Olson</t>
  </si>
  <si>
    <t xml:space="preserve"> Fort Lauderdale, Florida, United States</t>
  </si>
  <si>
    <t>+19545522112 and +19544373103</t>
  </si>
  <si>
    <t>alexolsonvargas@gmail.com,
mark@adwiremedia.com</t>
  </si>
  <si>
    <t xml:space="preserve">PeakBiety Branding </t>
  </si>
  <si>
    <t>www.peakbiety.com</t>
  </si>
  <si>
    <t xml:space="preserve">
Amy Phillips</t>
  </si>
  <si>
    <t>+1.8132278006 and 8475501515</t>
  </si>
  <si>
    <t>amyphillips@mindspring.com, aphillips@peakbiety.com</t>
  </si>
  <si>
    <t>Zelen Communications</t>
  </si>
  <si>
    <t>https://zelencommunications.com/</t>
  </si>
  <si>
    <t>Terry Zelen</t>
  </si>
  <si>
    <t>+18133404593 and +19048860779</t>
  </si>
  <si>
    <t xml:space="preserve"> terryzelen@gmail.com ,
tzelen@zelencommunications.com</t>
  </si>
  <si>
    <t>DME Marketing</t>
  </si>
  <si>
    <t>http://www.dmedelivers.com</t>
  </si>
  <si>
    <t>Thomas Weber</t>
  </si>
  <si>
    <t>Atlanta Metropolitan Area</t>
  </si>
  <si>
    <t xml:space="preserve">tom.weber@dmedelivers.com
webink@comcast.net
barbweber@comcast.net
</t>
  </si>
  <si>
    <t>Daisho Creative Strategies</t>
  </si>
  <si>
    <t xml:space="preserve">http://www.DaishoCreative.com </t>
  </si>
  <si>
    <t>Frank Irias</t>
  </si>
  <si>
    <t>786-210-3571
1.3052345617
786-542-8563
305-333-1322
305-234-5617</t>
  </si>
  <si>
    <t>frank@daishocreative.com
frankirias@gmail.com</t>
  </si>
  <si>
    <t xml:space="preserve">Referrizer LLC </t>
  </si>
  <si>
    <t>referrizer.com</t>
  </si>
  <si>
    <t>Andre Cvijovic</t>
  </si>
  <si>
    <t>Fort Lauderdale, Florida, United States</t>
  </si>
  <si>
    <t>+1.7808608604, (954) 292-8830, (954) 292-8803 and +1.9546673648</t>
  </si>
  <si>
    <t>cvijo82@gmail.com,
andre.c@referrizer.com
 noah@referrizer.com</t>
  </si>
  <si>
    <t>WebMonster</t>
  </si>
  <si>
    <t>webmonster.com.</t>
  </si>
  <si>
    <t>Ryan Orrell</t>
  </si>
  <si>
    <t>Hot Springs, Arkansas, United States</t>
  </si>
  <si>
    <t>+1 501-282-3927
+12674966210
+12674966210</t>
  </si>
  <si>
    <t>ryan@webmonster.com
aaronjordan2010@hotmail.com</t>
  </si>
  <si>
    <t>Web Design Miami Company</t>
  </si>
  <si>
    <t>webdesignmiamicompany.com</t>
  </si>
  <si>
    <t>Leonardo Barros</t>
  </si>
  <si>
    <t>leonardobarros@solvedpuzzle.com
leobr1519@hotmail.com</t>
  </si>
  <si>
    <t>3Sigma Digital</t>
  </si>
  <si>
    <t>https://3sigmadigital.com/</t>
  </si>
  <si>
    <t>Corey Gill</t>
  </si>
  <si>
    <t>coreyg@gmail.com</t>
  </si>
  <si>
    <r>
      <rPr>
        <rFont val="Arial"/>
        <color rgb="FF1155CC"/>
        <u/>
      </rPr>
      <t>https://thinkasa.com/</t>
    </r>
  </si>
  <si>
    <r>
      <rPr>
        <rFont val="Arial"/>
        <color rgb="FF1155CC"/>
        <u/>
      </rPr>
      <t>maxburst.com</t>
    </r>
  </si>
  <si>
    <r>
      <rPr>
        <rFont val="Arial"/>
        <color rgb="FF1155CC"/>
        <u/>
      </rPr>
      <t>bigdropinc.com</t>
    </r>
  </si>
  <si>
    <r>
      <rPr>
        <rFont val="Arial"/>
        <color rgb="FF1155CC"/>
        <u/>
      </rPr>
      <t>transfuture.com</t>
    </r>
  </si>
  <si>
    <r>
      <rPr>
        <rFont val="Arial"/>
        <color rgb="FF1155CC"/>
        <u/>
      </rPr>
      <t>jhseoagency.com</t>
    </r>
  </si>
  <si>
    <r>
      <rPr>
        <rFont val="Arial"/>
        <color rgb="FF1155CC"/>
        <u/>
      </rPr>
      <t>unifiedinfotech.net</t>
    </r>
  </si>
  <si>
    <r>
      <rPr>
        <rFont val="Arial"/>
        <color rgb="FF1155CC"/>
        <u/>
      </rPr>
      <t>zimblecode.com</t>
    </r>
  </si>
  <si>
    <t>Sarbjot S. Dhaliwal</t>
  </si>
  <si>
    <r>
      <rPr>
        <rFont val="Arial"/>
        <color rgb="FF1155CC"/>
        <u/>
      </rPr>
      <t>e9digital.com</t>
    </r>
  </si>
  <si>
    <r>
      <rPr>
        <rFont val="Arial"/>
        <color rgb="FF1155CC"/>
        <u/>
      </rPr>
      <t>https://dd.nyc/</t>
    </r>
  </si>
  <si>
    <r>
      <rPr>
        <rFont val="Arial"/>
        <color rgb="FF1155CC"/>
        <u/>
      </rPr>
      <t>thenewyorkwebsitedesigner.com</t>
    </r>
  </si>
  <si>
    <r>
      <rPr>
        <rFont val="Arial"/>
        <color rgb="FF1155CC"/>
        <u/>
      </rPr>
      <t>webteammanagement.com</t>
    </r>
  </si>
  <si>
    <r>
      <rPr>
        <rFont val="Arial"/>
        <color rgb="FF1155CC"/>
        <u/>
      </rPr>
      <t>247nywebdesign.com</t>
    </r>
  </si>
  <si>
    <r>
      <rPr>
        <rFont val="Arial"/>
        <color rgb="FF1155CC"/>
        <u/>
      </rPr>
      <t>serokell.io</t>
    </r>
  </si>
  <si>
    <r>
      <rPr>
        <rFont val="Arial"/>
        <color rgb="FF1155CC"/>
        <u/>
      </rPr>
      <t>heislersolutions.com</t>
    </r>
  </si>
  <si>
    <r>
      <rPr>
        <rFont val="Arial"/>
        <color rgb="FF1155CC"/>
        <u/>
      </rPr>
      <t>http://griffonwebstudios.com/</t>
    </r>
  </si>
  <si>
    <r>
      <rPr>
        <rFont val="Arial"/>
        <color rgb="FF1155CC"/>
        <u/>
      </rPr>
      <t>virtusa.com</t>
    </r>
  </si>
  <si>
    <r>
      <rPr>
        <rFont val="Arial"/>
        <color rgb="FF1155CC"/>
        <u/>
      </rPr>
      <t>jcraftstudios.com</t>
    </r>
  </si>
  <si>
    <r>
      <rPr>
        <rFont val="Arial"/>
        <color rgb="FF1155CC"/>
        <u/>
      </rPr>
      <t>sigli.com</t>
    </r>
  </si>
  <si>
    <r>
      <rPr>
        <rFont val="Arial"/>
        <color rgb="FF1155CC"/>
        <sz val="11.0"/>
        <u/>
      </rPr>
      <t>Mike Baleika</t>
    </r>
  </si>
  <si>
    <r>
      <rPr>
        <rFont val="Arial"/>
        <color rgb="FF1155CC"/>
        <u/>
      </rPr>
      <t>instinctools.com</t>
    </r>
  </si>
  <si>
    <r>
      <rPr>
        <rFont val="Arial"/>
        <color rgb="FF1155CC"/>
        <u/>
      </rPr>
      <t>shakuro.com</t>
    </r>
  </si>
  <si>
    <r>
      <rPr>
        <rFont val="Arial"/>
        <color rgb="FF1155CC"/>
        <sz val="11.0"/>
        <u/>
      </rPr>
      <t>Kostya Stepanov</t>
    </r>
  </si>
  <si>
    <r>
      <rPr>
        <rFont val="Arial"/>
        <color rgb="FF1155CC"/>
        <u/>
      </rPr>
      <t>meant4.com</t>
    </r>
  </si>
  <si>
    <r>
      <rPr>
        <rFont val="Arial"/>
        <color rgb="FF1155CC"/>
        <sz val="11.0"/>
        <u/>
      </rPr>
      <t>Maciej Perlinski</t>
    </r>
  </si>
  <si>
    <r>
      <rPr>
        <rFont val="Arial"/>
        <color rgb="FF1155CC"/>
        <u/>
      </rPr>
      <t>door3.com</t>
    </r>
  </si>
  <si>
    <t>Alex Asianov</t>
  </si>
  <si>
    <r>
      <rPr>
        <rFont val="Arial"/>
        <color rgb="FF1155CC"/>
        <u/>
      </rPr>
      <t>buzzworthystudio.com</t>
    </r>
  </si>
  <si>
    <r>
      <rPr>
        <rFont val="Arial"/>
        <color rgb="FF1155CC"/>
        <sz val="11.0"/>
        <u/>
      </rPr>
      <t>Daniel Haiem</t>
    </r>
  </si>
  <si>
    <r>
      <rPr>
        <rFont val="Arial"/>
        <color rgb="FF1155CC"/>
        <u/>
      </rPr>
      <t>jetrockets.com</t>
    </r>
  </si>
  <si>
    <r>
      <rPr>
        <rFont val="Arial"/>
        <color rgb="FF1155CC"/>
        <u/>
      </rPr>
      <t>meanpug.com</t>
    </r>
  </si>
  <si>
    <r>
      <rPr>
        <rFont val="Arial"/>
        <color rgb="FF1155CC"/>
        <sz val="11.0"/>
        <u/>
      </rPr>
      <t>Bobby Steinbach</t>
    </r>
  </si>
  <si>
    <r>
      <rPr>
        <rFont val="Arial"/>
        <color rgb="FF1155CC"/>
        <u/>
      </rPr>
      <t>burstdgtl.com</t>
    </r>
  </si>
  <si>
    <r>
      <rPr>
        <rFont val="Arial"/>
        <color rgb="FF1155CC"/>
        <u/>
      </rPr>
      <t>northstreetcreative.com</t>
    </r>
  </si>
  <si>
    <r>
      <rPr>
        <rFont val="Arial"/>
        <color rgb="FF1155CC"/>
        <u/>
      </rPr>
      <t>craftedny.com</t>
    </r>
  </si>
  <si>
    <r>
      <rPr>
        <rFont val="Arial"/>
        <color rgb="FF1155CC"/>
        <u/>
      </rPr>
      <t>newmedia.com</t>
    </r>
  </si>
  <si>
    <r>
      <rPr>
        <rFont val="Arial"/>
        <color rgb="FF1155CC"/>
        <u/>
      </rPr>
      <t>plaudit.com</t>
    </r>
  </si>
  <si>
    <r>
      <rPr>
        <rFont val="Arial"/>
        <color rgb="FF1155CC"/>
        <u/>
      </rPr>
      <t>fivejars.com</t>
    </r>
  </si>
  <si>
    <r>
      <rPr>
        <rFont val="Arial"/>
        <color rgb="FF1155CC"/>
        <u/>
      </rPr>
      <t>saritasa.com</t>
    </r>
  </si>
  <si>
    <r>
      <rPr>
        <rFont val="Arial"/>
        <color rgb="FF1155CC"/>
        <u/>
      </rPr>
      <t>nyfulcrum.com</t>
    </r>
  </si>
  <si>
    <r>
      <rPr>
        <rFont val="Arial"/>
        <color rgb="FF1155CC"/>
        <u/>
      </rPr>
      <t>studiomade.co</t>
    </r>
  </si>
  <si>
    <r>
      <rPr>
        <rFont val="Arial"/>
        <color rgb="FF1155CC"/>
        <u/>
      </rPr>
      <t>boldheart.io</t>
    </r>
  </si>
  <si>
    <r>
      <rPr>
        <rFont val="Arial"/>
        <color rgb="FF1155CC"/>
        <sz val="11.0"/>
        <u/>
      </rPr>
      <t>Fabienne Fredrickson</t>
    </r>
  </si>
  <si>
    <r>
      <rPr>
        <rFont val="Arial"/>
        <color rgb="FF1155CC"/>
        <u/>
      </rPr>
      <t>digiscorp.com</t>
    </r>
  </si>
  <si>
    <r>
      <rPr>
        <rFont val="Arial"/>
        <color rgb="FF1155CC"/>
        <u/>
      </rPr>
      <t>kitelytech.com</t>
    </r>
  </si>
  <si>
    <r>
      <rPr>
        <rFont val="Arial"/>
        <color rgb="FF1155CC"/>
        <sz val="11.0"/>
        <u/>
      </rPr>
      <t>Jason L. Weiner</t>
    </r>
  </si>
  <si>
    <t>weinerjason@gmail.com,</t>
  </si>
  <si>
    <r>
      <rPr>
        <rFont val="Arial"/>
        <color rgb="FF1155CC"/>
        <u/>
      </rPr>
      <t>adchitects.co</t>
    </r>
  </si>
  <si>
    <r>
      <rPr>
        <rFont val="Arial"/>
        <color rgb="FF1155CC"/>
        <sz val="11.0"/>
        <u/>
      </rPr>
      <t>Jakub (Kuba) Luty</t>
    </r>
  </si>
  <si>
    <r>
      <rPr>
        <rFont val="Arial"/>
        <color rgb="FF1155CC"/>
        <u/>
      </rPr>
      <t>upqode.com</t>
    </r>
  </si>
  <si>
    <r>
      <rPr>
        <rFont val="Arial"/>
        <color rgb="FF1155CC"/>
        <u/>
      </rPr>
      <t>phenomenonstudio.com</t>
    </r>
  </si>
  <si>
    <t>Valerii Filimonov</t>
  </si>
  <si>
    <r>
      <rPr>
        <rFont val="Arial"/>
        <color rgb="FF1155CC"/>
        <u/>
      </rPr>
      <t>xwp.co</t>
    </r>
  </si>
  <si>
    <r>
      <rPr>
        <rFont val="Arial"/>
        <color rgb="FF1155CC"/>
        <u/>
      </rPr>
      <t>greyboxcreative.com</t>
    </r>
  </si>
  <si>
    <r>
      <rPr>
        <rFont val="Arial"/>
        <color rgb="FF1155CC"/>
        <u/>
      </rPr>
      <t>greatjakes.com</t>
    </r>
  </si>
  <si>
    <r>
      <rPr>
        <rFont val="Arial"/>
        <color rgb="FF1155CC"/>
        <u/>
      </rPr>
      <t>forcoda.com</t>
    </r>
  </si>
  <si>
    <t>Lena Levine</t>
  </si>
  <si>
    <r>
      <rPr>
        <rFont val="Arial"/>
        <color rgb="FF1155CC"/>
        <u/>
      </rPr>
      <t>jahnelgroup.com</t>
    </r>
  </si>
  <si>
    <t>Darrin Jahnel</t>
  </si>
  <si>
    <r>
      <rPr>
        <rFont val="Arial"/>
        <color rgb="FF1155CC"/>
        <u/>
      </rPr>
      <t>espresslabs.com</t>
    </r>
  </si>
  <si>
    <r>
      <rPr>
        <rFont val="Arial"/>
        <color rgb="FF1155CC"/>
        <u/>
      </rPr>
      <t>stormbrain.com</t>
    </r>
  </si>
  <si>
    <r>
      <rPr>
        <rFont val="Arial"/>
        <color rgb="FF1155CC"/>
        <sz val="11.0"/>
        <u/>
      </rPr>
      <t>Blake J. Nolan</t>
    </r>
  </si>
  <si>
    <r>
      <rPr>
        <rFont val="Arial"/>
        <color rgb="FF1155CC"/>
        <sz val="11.0"/>
        <u/>
      </rPr>
      <t>bilberrry.com</t>
    </r>
  </si>
  <si>
    <r>
      <rPr>
        <rFont val="Arial"/>
        <color rgb="FF1155CC"/>
        <u/>
      </rPr>
      <t>freshysites.com</t>
    </r>
  </si>
  <si>
    <r>
      <rPr>
        <rFont val="Arial"/>
        <color rgb="FF1155CC"/>
        <u/>
      </rPr>
      <t>troyweb.com</t>
    </r>
  </si>
  <si>
    <r>
      <rPr>
        <rFont val="Arial"/>
        <color rgb="FF1155CC"/>
        <u/>
      </rPr>
      <t>hubspire.com</t>
    </r>
  </si>
  <si>
    <r>
      <rPr>
        <rFont val="Arial"/>
        <color rgb="FF1155CC"/>
        <sz val="11.0"/>
        <u/>
      </rPr>
      <t>Thomas Abraham</t>
    </r>
  </si>
  <si>
    <r>
      <rPr>
        <rFont val="Arial"/>
        <color rgb="FF1155CC"/>
        <u/>
      </rPr>
      <t>view-source.com</t>
    </r>
  </si>
  <si>
    <r>
      <rPr>
        <rFont val="Arial"/>
        <color rgb="FF1155CC"/>
        <u/>
      </rPr>
      <t>tanookilabs.com</t>
    </r>
  </si>
  <si>
    <r>
      <rPr>
        <rFont val="Arial"/>
        <color rgb="FF1155CC"/>
        <u/>
      </rPr>
      <t>noformat.com</t>
    </r>
  </si>
  <si>
    <r>
      <rPr>
        <rFont val="Arial"/>
        <color rgb="FF1155CC"/>
        <u/>
      </rPr>
      <t>invowork.com</t>
    </r>
  </si>
  <si>
    <r>
      <rPr>
        <rFont val="Arial"/>
        <color rgb="FF1155CC"/>
        <sz val="11.0"/>
        <u/>
      </rPr>
      <t>Khawaja Zubair Ahmed</t>
    </r>
  </si>
  <si>
    <r>
      <rPr>
        <rFont val="Arial"/>
        <color rgb="FF1155CC"/>
        <u/>
      </rPr>
      <t>modusdigital.com</t>
    </r>
  </si>
  <si>
    <r>
      <rPr>
        <rFont val="Arial"/>
        <color rgb="FF1155CC"/>
        <u/>
      </rPr>
      <t>onitdigital.com</t>
    </r>
  </si>
  <si>
    <r>
      <rPr>
        <rFont val="Arial"/>
        <color rgb="FF1155CC"/>
        <u/>
      </rPr>
      <t>keganquimby.com</t>
    </r>
  </si>
  <si>
    <r>
      <rPr>
        <rFont val="Arial"/>
        <color rgb="FF1155CC"/>
        <u/>
      </rPr>
      <t>jetsoftpro.com</t>
    </r>
  </si>
  <si>
    <r>
      <rPr>
        <rFont val="Arial"/>
        <color rgb="FF1155CC"/>
        <u/>
      </rPr>
      <t>thinkitfirst.com</t>
    </r>
  </si>
  <si>
    <r>
      <rPr>
        <rFont val="Arial"/>
        <color rgb="FF1155CC"/>
        <u/>
      </rPr>
      <t>drumncode.com</t>
    </r>
  </si>
  <si>
    <r>
      <rPr>
        <rFont val="Arial"/>
        <color rgb="FF1155CC"/>
        <u/>
      </rPr>
      <t>neffknows.com</t>
    </r>
  </si>
  <si>
    <t>Strategy of Things</t>
  </si>
  <si>
    <r>
      <rPr>
        <rFont val="Arial"/>
        <color rgb="FF1155CC"/>
        <u/>
      </rPr>
      <t>sotechnology.ai</t>
    </r>
  </si>
  <si>
    <r>
      <rPr>
        <rFont val="Arial"/>
        <color rgb="FF1155CC"/>
        <u/>
      </rPr>
      <t>bitsorchestra.com</t>
    </r>
  </si>
  <si>
    <r>
      <rPr>
        <rFont val="Arial"/>
        <color rgb="FF1155CC"/>
        <u/>
      </rPr>
      <t>triare.net</t>
    </r>
  </si>
  <si>
    <r>
      <rPr>
        <rFont val="Arial"/>
        <color rgb="FF1155CC"/>
        <u/>
      </rPr>
      <t>lform.com</t>
    </r>
  </si>
  <si>
    <r>
      <rPr>
        <rFont val="Arial"/>
        <color rgb="FF1155CC"/>
        <u/>
      </rPr>
      <t>uinno.io</t>
    </r>
  </si>
  <si>
    <r>
      <rPr>
        <rFont val="Arial"/>
        <color rgb="FF1155CC"/>
        <u/>
      </rPr>
      <t>3sidedcube.com</t>
    </r>
  </si>
  <si>
    <r>
      <rPr>
        <rFont val="Arial"/>
        <color rgb="FF1155CC"/>
        <u/>
      </rPr>
      <t>yellingmule.com</t>
    </r>
  </si>
  <si>
    <r>
      <rPr>
        <rFont val="Arial"/>
        <color rgb="FF1155CC"/>
        <u/>
      </rPr>
      <t>sumatosoft.com</t>
    </r>
  </si>
  <si>
    <r>
      <rPr>
        <rFont val="Arial"/>
        <color rgb="FF1155CC"/>
        <u/>
      </rPr>
      <t>temperandforge.com</t>
    </r>
  </si>
  <si>
    <r>
      <rPr>
        <rFont val="Arial"/>
        <color rgb="FF1155CC"/>
        <u/>
      </rPr>
      <t>nix-united.com</t>
    </r>
  </si>
  <si>
    <r>
      <rPr>
        <rFont val="Arial"/>
        <color rgb="FF1155CC"/>
        <u/>
      </rPr>
      <t>wakefly.com</t>
    </r>
  </si>
  <si>
    <r>
      <rPr>
        <rFont val="Arial"/>
        <color rgb="FF1155CC"/>
        <u/>
      </rPr>
      <t>weareimmediate.com</t>
    </r>
  </si>
  <si>
    <r>
      <rPr>
        <rFont val="Arial"/>
        <color rgb="FF1155CC"/>
        <u/>
      </rPr>
      <t>vairix.com</t>
    </r>
  </si>
  <si>
    <r>
      <rPr>
        <rFont val="Arial"/>
        <color rgb="FF1155CC"/>
        <u/>
      </rPr>
      <t>gofishdigital.com</t>
    </r>
  </si>
  <si>
    <r>
      <rPr>
        <rFont val="Arial"/>
        <color rgb="FF1155CC"/>
        <u/>
      </rPr>
      <t>traktekpartners.com</t>
    </r>
  </si>
  <si>
    <r>
      <rPr>
        <rFont val="Arial"/>
        <color rgb="FF1155CC"/>
        <u/>
      </rPr>
      <t>semrush.com</t>
    </r>
  </si>
  <si>
    <r>
      <rPr>
        <rFont val="Arial"/>
        <color rgb="FF1155CC"/>
        <sz val="11.0"/>
        <u/>
      </rPr>
      <t>Oleg Shchegolev</t>
    </r>
  </si>
  <si>
    <r>
      <rPr>
        <rFont val="Arial"/>
        <color rgb="FF1155CC"/>
        <u/>
      </rPr>
      <t>mightyunionagency.com</t>
    </r>
  </si>
  <si>
    <r>
      <rPr>
        <rFont val="Arial"/>
        <color rgb="FF1155CC"/>
        <u/>
      </rPr>
      <t>serpcom.com</t>
    </r>
  </si>
  <si>
    <r>
      <rPr>
        <rFont val="Arial"/>
        <color rgb="FF1155CC"/>
        <u/>
      </rPr>
      <t>fullcortex.com</t>
    </r>
  </si>
  <si>
    <r>
      <rPr>
        <rFont val="Arial"/>
        <color rgb="FF1155CC"/>
        <u/>
      </rPr>
      <t>zerodegreesinc.com</t>
    </r>
  </si>
  <si>
    <r>
      <rPr>
        <rFont val="Arial"/>
        <color rgb="FF1155CC"/>
        <u/>
      </rPr>
      <t>knectar.com</t>
    </r>
  </si>
  <si>
    <r>
      <rPr>
        <rFont val="Arial"/>
        <color rgb="FF1155CC"/>
        <u/>
      </rPr>
      <t>nextideatech.com</t>
    </r>
  </si>
  <si>
    <r>
      <rPr>
        <rFont val="Arial"/>
        <color rgb="FF1155CC"/>
        <u/>
      </rPr>
      <t>opusdesign.us</t>
    </r>
  </si>
  <si>
    <r>
      <rPr>
        <rFont val="Arial"/>
        <color rgb="FF1155CC"/>
        <u/>
      </rPr>
      <t>goinvo.com</t>
    </r>
  </si>
  <si>
    <r>
      <rPr>
        <rFont val="Arial"/>
        <color rgb="FF1155CC"/>
        <u/>
      </rPr>
      <t>whatarmy.com</t>
    </r>
  </si>
  <si>
    <r>
      <rPr>
        <rFont val="Arial"/>
        <color rgb="FF1155CC"/>
        <u/>
      </rPr>
      <t>zagaran.com</t>
    </r>
  </si>
  <si>
    <r>
      <rPr>
        <rFont val="Arial"/>
        <color rgb="FF1155CC"/>
        <u/>
      </rPr>
      <t>rightpoint.com</t>
    </r>
  </si>
  <si>
    <r>
      <rPr>
        <rFont val="Arial"/>
        <color rgb="FF1155CC"/>
        <u/>
      </rPr>
      <t>prbyac.com</t>
    </r>
  </si>
  <si>
    <r>
      <rPr>
        <rFont val="Arial"/>
        <color rgb="FF1155CC"/>
        <u/>
      </rPr>
      <t>insegment.com</t>
    </r>
  </si>
  <si>
    <r>
      <rPr>
        <rFont val="Arial"/>
        <color rgb="FF1155CC"/>
        <u/>
      </rPr>
      <t>waydigit.com</t>
    </r>
  </si>
  <si>
    <t>Volodymyr Zabolotnyi</t>
  </si>
  <si>
    <r>
      <rPr>
        <rFont val="&quot;Times New Roman&quot;"/>
        <color rgb="FF1155CC"/>
        <sz val="11.0"/>
        <u/>
      </rPr>
      <t>https://www.webdaytona.com</t>
    </r>
  </si>
  <si>
    <t>Winter Springs FL
 Daytona Beach, FL, USA.
 115 South Palmetto Ave Daytona Beach, FL 32114</t>
  </si>
  <si>
    <r>
      <rPr>
        <rFont val="&quot;Times New Roman&quot;"/>
        <color rgb="FF1155CC"/>
        <sz val="11.0"/>
        <u/>
      </rPr>
      <t>gary@webdaytona.com</t>
    </r>
  </si>
  <si>
    <r>
      <rPr>
        <rFont val="&quot;Times New Roman&quot;"/>
        <color rgb="FF1155CC"/>
        <sz val="11.0"/>
        <u/>
      </rPr>
      <t>https://webstudioflorida.com/</t>
    </r>
  </si>
  <si>
    <t>85 Hollow Branch Rd
 Apopka, FL 32703</t>
  </si>
  <si>
    <r>
      <rPr>
        <rFont val="&quot;Times New Roman&quot;"/>
        <color rgb="FF1155CC"/>
        <sz val="11.0"/>
        <u/>
      </rPr>
      <t xml:space="preserve">himala@webstudioflorida.com </t>
    </r>
    <r>
      <rPr>
        <rFont val="&quot;Times New Roman&quot;"/>
        <sz val="11.0"/>
      </rPr>
      <t xml:space="preserve">
 himala@newkirk-engineering.com 
 himala@cyberneticnetworks.com</t>
    </r>
  </si>
  <si>
    <t>Web Studio DM LLC</t>
  </si>
  <si>
    <r>
      <rPr>
        <rFont val="&quot;Times New Roman&quot;"/>
        <color rgb="FF1155CC"/>
        <sz val="11.0"/>
        <u/>
      </rPr>
      <t>https://websdm.us/</t>
    </r>
  </si>
  <si>
    <t>North Miami Beach, Florida, United States
 MALAKHOV, DENYS
 18555 COLLINS AVENUE
 5505
 SUNNY ISLES, FL 33160</t>
  </si>
  <si>
    <r>
      <rPr>
        <rFont val="&quot;Times New Roman&quot;"/>
        <color rgb="FF1155CC"/>
        <sz val="11.0"/>
        <u/>
      </rPr>
      <t xml:space="preserve">dm@websdm.us </t>
    </r>
    <r>
      <rPr>
        <rFont val="&quot;Times New Roman&quot;"/>
        <sz val="11.0"/>
      </rPr>
      <t xml:space="preserve">
 mdv786@yahoo.com</t>
    </r>
  </si>
  <si>
    <t>webmarketflorida.com
 https://washeen.com/</t>
  </si>
  <si>
    <t>2750 TAYLOR AVENUE, SUITE A-26
 ORLANDO, FL 32806</t>
  </si>
  <si>
    <r>
      <rPr>
        <rFont val="&quot;Times New Roman&quot;"/>
        <color rgb="FF1155CC"/>
        <sz val="11.0"/>
        <u/>
      </rPr>
      <t>contact@washeen.com</t>
    </r>
  </si>
  <si>
    <t>640 North Peninsula Drive, 
 Daytona Beach, FL 
 32118</t>
  </si>
  <si>
    <r>
      <rPr>
        <rFont val="&quot;Times New Roman&quot;"/>
        <color rgb="FF1155CC"/>
        <sz val="11.0"/>
        <u/>
      </rPr>
      <t>benedict@zgraph.com</t>
    </r>
    <r>
      <rPr>
        <rFont val="&quot;Times New Roman&quot;"/>
        <sz val="11.0"/>
      </rPr>
      <t xml:space="preserve">
 michael@benedictadvertising.com</t>
    </r>
  </si>
  <si>
    <t>Ajroni Web Agency</t>
  </si>
  <si>
    <r>
      <rPr>
        <rFont val="&quot;Times New Roman&quot;"/>
        <color rgb="FF1155CC"/>
        <sz val="11.0"/>
        <u/>
      </rPr>
      <t>https://ajroni.com/</t>
    </r>
  </si>
  <si>
    <t>West Palm Beach, FL</t>
  </si>
  <si>
    <t>lirim@ajroni.com
 ajronienterprises@hotmail.com</t>
  </si>
  <si>
    <t>daddydesign.com</t>
  </si>
  <si>
    <t>Ryan Steinhardt</t>
  </si>
  <si>
    <t>Street:
 501 NE 5TH TER APT 518
 City:
 FORT LAUDERDALE
 State:
 FL
 Postal Code:
 33301-1797
 Country:
 US</t>
  </si>
  <si>
    <r>
      <rPr>
        <rFont val="&quot;Times New Roman&quot;"/>
        <color rgb="FF1155CC"/>
        <sz val="11.0"/>
        <u/>
      </rPr>
      <t>ryan@daddydesign.co</t>
    </r>
    <r>
      <rPr>
        <rFont val="&quot;Times New Roman&quot;"/>
        <sz val="11.0"/>
      </rPr>
      <t>m
 ryansteinhardt@gmail.com</t>
    </r>
  </si>
  <si>
    <t>Florida Web Design</t>
  </si>
  <si>
    <r>
      <rPr>
        <rFont val="Calibri"/>
        <color rgb="FF1155CC"/>
        <sz val="11.0"/>
        <u/>
      </rPr>
      <t>https://flawebdesign.us/</t>
    </r>
  </si>
  <si>
    <t>Rocco Kalas</t>
  </si>
  <si>
    <t>Street:
 420 N Blue Lake Terrace
 City:
 Deland
 State:
 FL
 Postal Code:
 32724
 Country:
 US</t>
  </si>
  <si>
    <r>
      <rPr>
        <rFont val="Calibri"/>
        <color rgb="FF1155CC"/>
        <sz val="11.0"/>
        <u/>
      </rPr>
      <t>kalasrocoo@yahoo.com</t>
    </r>
  </si>
  <si>
    <r>
      <rPr>
        <rFont val="Calibri"/>
        <color rgb="FF1155CC"/>
        <sz val="11.0"/>
        <u/>
      </rPr>
      <t>https://oviedowebdesign.com/</t>
    </r>
  </si>
  <si>
    <t>Street:
 268 GALA CIR
 City:
 DAYTONA BEACH
 State:
 FL
 Postal Code:
 32124-2012
 Country:
 US</t>
  </si>
  <si>
    <r>
      <rPr>
        <rFont val="Calibri"/>
        <color rgb="FF1155CC"/>
        <sz val="11.0"/>
        <u/>
      </rPr>
      <t>MHARTWELL.DD@GMAIL.COM</t>
    </r>
  </si>
  <si>
    <r>
      <rPr>
        <rFont val="Calibri"/>
        <color rgb="FF1155CC"/>
        <sz val="11.0"/>
        <u/>
      </rPr>
      <t>https://webmiami.com/</t>
    </r>
  </si>
  <si>
    <t>ivan@webmiami.com
 ivrsell@gmail.com</t>
  </si>
  <si>
    <r>
      <rPr>
        <rFont val="Calibri"/>
        <color rgb="FF1155CC"/>
        <sz val="11.0"/>
        <u/>
      </rPr>
      <t>https://webpropeller.com</t>
    </r>
  </si>
  <si>
    <t>landoncahow@gmail.com
 landon@redzephyrdesign.com</t>
  </si>
  <si>
    <t>admin@weorlando.com
 leokcta@gmail.com
 leo@conceptatech.com</t>
  </si>
  <si>
    <t>Greater Philadelphia</t>
  </si>
  <si>
    <r>
      <rPr>
        <rFont val="Calibri"/>
        <color rgb="FF1155CC"/>
        <sz val="11.0"/>
        <u/>
      </rPr>
      <t>david@streamcompanies.com</t>
    </r>
    <r>
      <rPr>
        <rFont val="Calibri"/>
        <sz val="11.0"/>
      </rPr>
      <t xml:space="preserve">
 davidregn@gmail.com</t>
    </r>
  </si>
  <si>
    <t>davidazar4@hotmail.com
 d@monabar.com
 david@outsmartlabs.com.</t>
  </si>
  <si>
    <r>
      <rPr>
        <rFont val="Calibri"/>
        <color rgb="FF1155CC"/>
        <sz val="11.0"/>
        <u/>
      </rPr>
      <t>https://thatagency.com/</t>
    </r>
  </si>
  <si>
    <t>Canon City, Colorado, United States</t>
  </si>
  <si>
    <t>bteubner@thatagency.com
 bill@thatagency.com</t>
  </si>
  <si>
    <r>
      <rPr>
        <rFont val="Calibri"/>
        <color rgb="FF1155CC"/>
        <sz val="11.0"/>
        <u/>
      </rPr>
      <t>https://www.marketmymarket.com/</t>
    </r>
  </si>
  <si>
    <t>Charlotte, North Carolina, United States</t>
  </si>
  <si>
    <t>rklein@marketmymarket.com
 ryan@marketmymarket.com
 rklein@bakerzimmerman.com
 ryan@thelocalagency.net
 ryan.ssp@gmail.com
 duest55@hotmail.com</t>
  </si>
  <si>
    <r>
      <rPr>
        <rFont val="Calibri"/>
        <color rgb="FF1155CC"/>
        <sz val="11.0"/>
        <u/>
      </rPr>
      <t>https://tavanoteam.com</t>
    </r>
  </si>
  <si>
    <t>diego.isola@gmail.com
  diego@tavanoteam.com</t>
  </si>
  <si>
    <t>http://www.321theagency.com</t>
  </si>
  <si>
    <t>jboutin@three21creative.com</t>
  </si>
  <si>
    <r>
      <rPr>
        <rFont val="Calibri"/>
        <color rgb="FF1155CC"/>
        <sz val="11.0"/>
        <u/>
      </rPr>
      <t>https://www.yourdigitalresource.com/</t>
    </r>
  </si>
  <si>
    <r>
      <rPr>
        <rFont val="Calibri"/>
        <color rgb="FF1155CC"/>
        <sz val="11.0"/>
        <u/>
      </rPr>
      <t>https://ghagency.com</t>
    </r>
  </si>
  <si>
    <t>calebedw@gmail.com, caleb@thegreenhouseagency.com, caleb@ghsocialmedia.com, caleb@ghagency.com</t>
  </si>
  <si>
    <r>
      <rPr>
        <rFont val="Calibri"/>
        <color rgb="FF1155CC"/>
        <sz val="11.0"/>
        <u/>
      </rPr>
      <t>http://bigbinary.com/</t>
    </r>
  </si>
  <si>
    <r>
      <rPr>
        <rFont val="Calibri"/>
        <color rgb="FF1155CC"/>
        <sz val="11.0"/>
        <u/>
      </rPr>
      <t>https://intrepy.com</t>
    </r>
  </si>
  <si>
    <t>(770) 742-8513 (Work), 
 678-250-4757 and 
 +1.3213884972</t>
  </si>
  <si>
    <t>jdknott79@gmail.com and justin@intrepy.com</t>
  </si>
  <si>
    <r>
      <rPr>
        <rFont val="Calibri"/>
        <color rgb="FF1155CC"/>
        <sz val="11.0"/>
        <u/>
      </rPr>
      <t>patricia@chief.com</t>
    </r>
  </si>
  <si>
    <r>
      <rPr>
        <rFont val="Calibri"/>
        <color rgb="FF1155CC"/>
        <sz val="11.0"/>
        <u/>
      </rPr>
      <t>https://damngood.agency/</t>
    </r>
  </si>
  <si>
    <t>gavin@dgcg.us
  gavin@damngood.agency</t>
  </si>
  <si>
    <r>
      <rPr>
        <rFont val="Calibri"/>
        <color rgb="FF1155CC"/>
        <sz val="11.0"/>
        <u/>
      </rPr>
      <t>https://www.ptp-llc.com/</t>
    </r>
  </si>
  <si>
    <t>8134980486 and 
 (863) 943-4300</t>
  </si>
  <si>
    <t>vbuonamia@yahoo.com 
 victor@ptp-llc.com</t>
  </si>
  <si>
    <r>
      <rPr>
        <rFont val="Calibri"/>
        <color rgb="FF1155CC"/>
        <sz val="11.0"/>
        <u/>
      </rPr>
      <t>https://www.appletoncreative.com/</t>
    </r>
  </si>
  <si>
    <t>407-246-0092 x 8 
 407) 246-0092
 40724600928
 407-748-2943</t>
  </si>
  <si>
    <t>diana@avidneogeo.com
 diana@appletoncreative.com
 dianalarue@aol.com</t>
  </si>
  <si>
    <r>
      <rPr>
        <rFont val="Calibri"/>
        <color rgb="FF1155CC"/>
        <sz val="11.0"/>
        <u/>
      </rPr>
      <t>https://www.designzillas.com</t>
    </r>
  </si>
  <si>
    <t>jhughes28@gmail.com 
 johnny@designzillas.com</t>
  </si>
  <si>
    <r>
      <rPr>
        <rFont val="Calibri"/>
        <color rgb="FF1155CC"/>
        <sz val="11.0"/>
        <u/>
      </rPr>
      <t>https://bigsea.co/</t>
    </r>
  </si>
  <si>
    <t>727-386-8031
 1.7273868031
 1.3522221747
 1.6174842407
 727.386.8031
 727.418.4351</t>
  </si>
  <si>
    <r>
      <rPr>
        <rFont val="Calibri"/>
        <color rgb="FF1155CC"/>
        <sz val="11.0"/>
        <u/>
      </rPr>
      <t>andi@bigsea.co</t>
    </r>
    <r>
      <rPr>
        <rFont val="Calibri"/>
        <sz val="11.0"/>
      </rPr>
      <t xml:space="preserve">
 andigraham@gmail.com</t>
    </r>
  </si>
  <si>
    <r>
      <rPr>
        <rFont val="Calibri"/>
        <color rgb="FF1155CC"/>
        <sz val="11.0"/>
        <u/>
      </rPr>
      <t>https://www.emagineHealth.com</t>
    </r>
  </si>
  <si>
    <t>Bill Gadless</t>
  </si>
  <si>
    <t>508-415-6119
 781-828-4405
 864-275-3810
 601-506-3006
 781-828-4500
 877-530-7993</t>
  </si>
  <si>
    <t>bill@emagine.com
 bgadless@gmail.com</t>
  </si>
  <si>
    <t>904-982-4915
 +17086016666 
 +19049824915.</t>
  </si>
  <si>
    <t>myammc@gmail.com
 ogel.henry@hotmail.com
 mya@digitaledge.marketing</t>
  </si>
  <si>
    <r>
      <rPr>
        <rFont val="Calibri"/>
        <color rgb="FF1155CC"/>
        <sz val="11.0"/>
        <u/>
      </rPr>
      <t>https://www.rdglobalinc.com/</t>
    </r>
  </si>
  <si>
    <t>kks_raj@hotmail.com
 rajesh.nambiar@rds-global.com</t>
  </si>
  <si>
    <r>
      <rPr>
        <rFont val="Calibri"/>
        <color rgb="FF1155CC"/>
        <sz val="11.0"/>
        <u/>
      </rPr>
      <t>https://keylimeinteractive.com</t>
    </r>
  </si>
  <si>
    <t>3058042930
  9542592815</t>
  </si>
  <si>
    <t>ania76@hotmail.com
 ania@keylimeinteractive.com 
  ania@journeytrack.io</t>
  </si>
  <si>
    <r>
      <rPr>
        <rFont val="Calibri"/>
        <color rgb="FF1155CC"/>
        <sz val="11.0"/>
        <u/>
      </rPr>
      <t>https://www.cobuildlab.com/</t>
    </r>
  </si>
  <si>
    <t>Angel Lacret</t>
  </si>
  <si>
    <t>584141673303
 786-991-3467</t>
  </si>
  <si>
    <r>
      <rPr>
        <rFont val="Calibri"/>
        <color rgb="FF1155CC"/>
        <sz val="11.0"/>
        <u/>
      </rPr>
      <t>alacret@cobuildlab.com</t>
    </r>
    <r>
      <rPr>
        <rFont val="Calibri"/>
        <sz val="11.0"/>
      </rPr>
      <t xml:space="preserve">
 alacret@gmail.com</t>
    </r>
  </si>
  <si>
    <r>
      <rPr>
        <rFont val="Calibri"/>
        <color rgb="FF1155CC"/>
        <sz val="11.0"/>
        <u/>
      </rPr>
      <t>http://ogkcreative.com</t>
    </r>
  </si>
  <si>
    <t>Craig Kuperman
 Project Man: Bianca Flamingo</t>
  </si>
  <si>
    <t>561-450-6721
 +1.4077664473</t>
  </si>
  <si>
    <t>craig@theogk.com
 craig@ogkcreative.com
  bianca_c_f@hotmail.com
 bflamingo@thatagency.com</t>
  </si>
  <si>
    <r>
      <rPr>
        <rFont val="Calibri"/>
        <color rgb="FF1155CC"/>
        <sz val="11.0"/>
        <u/>
      </rPr>
      <t>https://datson360.com/</t>
    </r>
  </si>
  <si>
    <t>Headquarters
 3800 Inverrary Blvd, Lauderhill, Florida 33319, US</t>
  </si>
  <si>
    <r>
      <rPr>
        <rFont val="Calibri"/>
        <color rgb="FF1155CC"/>
        <sz val="11.0"/>
        <u/>
      </rPr>
      <t>kantumanish@gmail.com</t>
    </r>
  </si>
  <si>
    <r>
      <rPr>
        <rFont val="Calibri"/>
        <color rgb="FF1155CC"/>
        <sz val="11.0"/>
        <u/>
      </rPr>
      <t>https://levohealth.com/</t>
    </r>
  </si>
  <si>
    <t>david.mitchell.williams@gmail.com
 david@levohealth.com</t>
  </si>
  <si>
    <r>
      <rPr>
        <rFont val="Calibri"/>
        <color rgb="FF1155CC"/>
        <sz val="11.0"/>
        <u/>
      </rPr>
      <t>https://r3mx.com/</t>
    </r>
  </si>
  <si>
    <t>Orlando, Florida, United States
 View Doug Berger's Email &amp; Phone Number</t>
  </si>
  <si>
    <r>
      <rPr>
        <rFont val="Calibri"/>
        <color rgb="FF1155CC"/>
        <sz val="11.0"/>
        <u/>
      </rPr>
      <t>doug@r3mx.com</t>
    </r>
    <r>
      <rPr>
        <rFont val="Calibri"/>
        <sz val="11.0"/>
      </rPr>
      <t xml:space="preserve">
 dougberger@gmail.com</t>
    </r>
  </si>
  <si>
    <t>Chris Antley</t>
  </si>
  <si>
    <t>(863) 607-6262
 (863) 646-2488
 (205) 381-7441</t>
  </si>
  <si>
    <t>csantley@msn.com
 cantley@curiousjane.com</t>
  </si>
  <si>
    <r>
      <rPr>
        <rFont val="Calibri"/>
        <color rgb="FF1155CC"/>
        <sz val="11.0"/>
        <u/>
      </rPr>
      <t>https://simplythebestdigital.com/</t>
    </r>
  </si>
  <si>
    <t>Adam Goodkin</t>
  </si>
  <si>
    <t>adam@goodpresspublishing.com
 adam@simplythebestdigital.com</t>
  </si>
  <si>
    <r>
      <rPr>
        <rFont val="Calibri"/>
        <color rgb="FF1155CC"/>
        <sz val="11.0"/>
        <u/>
      </rPr>
      <t>https://www.abcw.global/en/</t>
    </r>
  </si>
  <si>
    <t>86619248
 352-855-1583
 86619247</t>
  </si>
  <si>
    <r>
      <rPr>
        <rFont val="Calibri"/>
        <color rgb="FF1155CC"/>
        <sz val="11.0"/>
        <u/>
      </rPr>
      <t>hernan@abcw.global</t>
    </r>
    <r>
      <rPr>
        <rFont val="Calibri"/>
        <sz val="11.0"/>
      </rPr>
      <t xml:space="preserve">
 hernannoval@gmail.com</t>
    </r>
  </si>
  <si>
    <t>Brandcoders</t>
  </si>
  <si>
    <r>
      <rPr>
        <rFont val="Calibri"/>
        <color rgb="FF1155CC"/>
        <sz val="11.0"/>
        <u/>
      </rPr>
      <t>https://brandcoders.com/</t>
    </r>
  </si>
  <si>
    <r>
      <rPr>
        <rFont val="Calibri"/>
        <color rgb="FF1155CC"/>
        <sz val="11.0"/>
        <u/>
      </rPr>
      <t>dimitri@brandcoders.com</t>
    </r>
  </si>
  <si>
    <r>
      <rPr>
        <rFont val="Calibri"/>
        <color rgb="FF1155CC"/>
        <sz val="11.0"/>
        <u/>
      </rPr>
      <t>http://www.rewardlion.com</t>
    </r>
  </si>
  <si>
    <t>5628040134
 15613581476</t>
  </si>
  <si>
    <t>snswirelesstampa@gmail.com
 mike@rewardlion.com</t>
  </si>
  <si>
    <t>TrendyMinds</t>
  </si>
  <si>
    <r>
      <rPr>
        <rFont val="Calibri"/>
        <color rgb="FF1155CC"/>
        <sz val="11.0"/>
        <u/>
      </rPr>
      <t>https://trendyminds.com/</t>
    </r>
  </si>
  <si>
    <r>
      <rPr>
        <rFont val="Calibri"/>
        <color rgb="FF1155CC"/>
        <sz val="11.0"/>
        <u/>
      </rPr>
      <t>tyager@trendyminds.com</t>
    </r>
    <r>
      <rPr>
        <rFont val="Calibri"/>
        <sz val="11.0"/>
      </rPr>
      <t xml:space="preserve">
 webmaster@tmgraphics.com
 y.trevor@trevoryager.com
 y.trevor@unihausdesign.com</t>
    </r>
  </si>
  <si>
    <r>
      <rPr>
        <rFont val="Calibri"/>
        <color rgb="FF1155CC"/>
        <sz val="11.0"/>
        <u/>
      </rPr>
      <t>https://www.sambarock.us/</t>
    </r>
  </si>
  <si>
    <r>
      <rPr>
        <rFont val="Calibri"/>
        <color rgb="FF1155CC"/>
        <sz val="11.0"/>
        <u/>
      </rPr>
      <t>valter.klug@forbesbusinesscouncil.com</t>
    </r>
    <r>
      <rPr>
        <rFont val="Calibri"/>
        <sz val="11.0"/>
      </rPr>
      <t xml:space="preserve">
 valter.klug@gmail.com</t>
    </r>
  </si>
  <si>
    <t>c.aviram@gmail.com 
 avi@pacific54.com</t>
  </si>
  <si>
    <r>
      <rPr>
        <rFont val="Calibri"/>
        <color rgb="FF1155CC"/>
        <sz val="11.0"/>
        <u/>
      </rPr>
      <t>https://StudioTwo.com</t>
    </r>
  </si>
  <si>
    <t>k2pro@aol.com
 kevin@studiotwo.com</t>
  </si>
  <si>
    <r>
      <rPr>
        <rFont val="Calibri"/>
        <color rgb="FF1155CC"/>
        <sz val="11.0"/>
        <u/>
      </rPr>
      <t>https://highmindedagency.com/</t>
    </r>
  </si>
  <si>
    <t>dt@highmindedagency.com
 dannytimiraos@gmail.com</t>
  </si>
  <si>
    <r>
      <rPr>
        <rFont val="Calibri"/>
        <color rgb="FF1155CC"/>
        <sz val="11.0"/>
        <u/>
      </rPr>
      <t>https://digitalneighbor.com/</t>
    </r>
  </si>
  <si>
    <t>mainz05@mac.com
  eric.ritter@forbesbusinesscouncil.com</t>
  </si>
  <si>
    <r>
      <rPr>
        <rFont val="Calibri"/>
        <color rgb="FF1155CC"/>
        <sz val="11.0"/>
        <u/>
      </rPr>
      <t>http://www.561media.com</t>
    </r>
  </si>
  <si>
    <t>dan@danielgiordano.com
 dangiordano2@gmail.com
 dan@30daysto10k.com 
 dan@561media.com</t>
  </si>
  <si>
    <r>
      <rPr>
        <rFont val="Calibri"/>
        <color rgb="FF1155CC"/>
        <sz val="11.0"/>
        <u/>
      </rPr>
      <t>https://designocean.us</t>
    </r>
  </si>
  <si>
    <t>Street:
 1160 Battery Street East
 Suites 100
 City:
 San Francisco
 State:
 California
 Postal Code:
 94111</t>
  </si>
  <si>
    <r>
      <rPr>
        <rFont val="Calibri"/>
        <color rgb="FF1155CC"/>
        <sz val="11.0"/>
        <u/>
      </rPr>
      <t>http://www.zgraph.com/</t>
    </r>
  </si>
  <si>
    <t>Bill Zachary</t>
  </si>
  <si>
    <t>Name:
 Bill Zachary
 Street:
 140 South Beach Street Suite 104
 City:
 Daytona Beach
 State:
 FL
 Postal Code:
 32114</t>
  </si>
  <si>
    <r>
      <rPr>
        <rFont val="Calibri"/>
        <color rgb="FF1155CC"/>
        <sz val="11.0"/>
        <u/>
      </rPr>
      <t>billz@zgraph.com</t>
    </r>
  </si>
  <si>
    <r>
      <rPr>
        <rFont val="Calibri"/>
        <color rgb="FF1155CC"/>
        <sz val="11.0"/>
        <u/>
      </rPr>
      <t>http://www.market8.net/</t>
    </r>
  </si>
  <si>
    <t>Atlanta, Georgia, United States</t>
  </si>
  <si>
    <t>eesparzar@gmail.com
 eduardo@market8.net.</t>
  </si>
  <si>
    <r>
      <rPr>
        <rFont val="Calibri"/>
        <color rgb="FF1155CC"/>
        <sz val="11.0"/>
        <u/>
      </rPr>
      <t>https://clientexpander.com/</t>
    </r>
  </si>
  <si>
    <t>klewis7945@aol.com
 ken@clientexpander.com</t>
  </si>
  <si>
    <r>
      <rPr>
        <rFont val="Calibri"/>
        <color rgb="FF1155CC"/>
        <sz val="11.0"/>
        <u/>
      </rPr>
      <t>https://varfaj.com/</t>
    </r>
  </si>
  <si>
    <t>(617) 398-6044</t>
  </si>
  <si>
    <t>dbc320@nyu.edu 
 david@varfaj.com</t>
  </si>
  <si>
    <t>XeoDev</t>
  </si>
  <si>
    <r>
      <rPr>
        <rFont val="Calibri"/>
        <color rgb="FF1155CC"/>
        <sz val="11.0"/>
        <u/>
      </rPr>
      <t>https://www.xeodev.com/</t>
    </r>
  </si>
  <si>
    <t>ramy_fanous@yahoo.com
 ramy@xeodev.com</t>
  </si>
  <si>
    <r>
      <rPr>
        <rFont val="Calibri"/>
        <color rgb="FF1155CC"/>
        <sz val="11.0"/>
        <u/>
      </rPr>
      <t>http://hip.agency</t>
    </r>
  </si>
  <si>
    <t>Pensacola, Florida, United States</t>
  </si>
  <si>
    <r>
      <rPr>
        <rFont val="Calibri"/>
        <color rgb="FF1155CC"/>
        <sz val="11.0"/>
        <u/>
      </rPr>
      <t>lukeinf86@gmail.com</t>
    </r>
  </si>
  <si>
    <t>conchie@gmail.com
 info@cf-creative.com</t>
  </si>
  <si>
    <t>754-229-2256
 865-441-5157
 954-263-0669
 954-255-8681
 754-229-2256</t>
  </si>
  <si>
    <t>douglas.scott@bmgcreative.com
 dscott@fortunemediagroupinc.com
 douglasscott@gmail.com</t>
  </si>
  <si>
    <r>
      <rPr>
        <rFont val="Calibri"/>
        <color rgb="FF1155CC"/>
        <sz val="11.0"/>
        <u/>
      </rPr>
      <t>http://www.digitalmules.com</t>
    </r>
  </si>
  <si>
    <r>
      <rPr>
        <rFont val="Calibri"/>
        <color rgb="FF1155CC"/>
        <sz val="11.0"/>
        <u/>
      </rPr>
      <t>fclemente@mulemediainc.com</t>
    </r>
    <r>
      <rPr>
        <rFont val="Calibri"/>
        <sz val="11.0"/>
      </rPr>
      <t xml:space="preserve">
 fernando@theadgoats.com
 fclemente@charter.re
 fernandoclemente@gmail.com</t>
    </r>
  </si>
  <si>
    <r>
      <rPr>
        <rFont val="Calibri"/>
        <color rgb="FF1155CC"/>
        <sz val="11.0"/>
        <u/>
      </rPr>
      <t>http://www.heydaymarketing.com/</t>
    </r>
  </si>
  <si>
    <t>lizdm02@yahoo.com 
 emoya@heydaymarketing.com</t>
  </si>
  <si>
    <r>
      <rPr>
        <rFont val="Calibri"/>
        <color rgb="FF1155CC"/>
        <sz val="11.0"/>
        <u/>
      </rPr>
      <t>https://redrocketstudios.com</t>
    </r>
  </si>
  <si>
    <t>caten69@yahoo.com, chris@atenadvertising.com
 chris@redrocketstudios.com</t>
  </si>
  <si>
    <t>Jacques Hart</t>
  </si>
  <si>
    <t>jacqueshart@gmail.com, jacques@roarmedia.com
 jhart@roarmedia.com</t>
  </si>
  <si>
    <r>
      <rPr>
        <rFont val="Calibri"/>
        <color rgb="FF1155CC"/>
        <sz val="11.0"/>
        <u/>
      </rPr>
      <t>https://www.2ton.com/</t>
    </r>
  </si>
  <si>
    <t>madelinegorman12@gmail.com
 madeline@2ton.com</t>
  </si>
  <si>
    <r>
      <rPr>
        <rFont val="Calibri"/>
        <color rgb="FF1155CC"/>
        <sz val="11.0"/>
        <u/>
      </rPr>
      <t>https://bigmedium.com/</t>
    </r>
  </si>
  <si>
    <t>Name:
 Clark, Josh
 Street:
 22 S PACK SQ STE 201
 City:
 Asheville
 State:
 NC
 Postal Code:
 28801-3505
 Country:
 US</t>
  </si>
  <si>
    <r>
      <rPr>
        <rFont val="Calibri"/>
        <color rgb="FF1155CC"/>
        <sz val="11.0"/>
        <u/>
      </rPr>
      <t>josh@bigmedium.com</t>
    </r>
  </si>
  <si>
    <r>
      <rPr>
        <rFont val="Calibri"/>
        <color rgb="FF1155CC"/>
        <sz val="11.0"/>
        <u/>
      </rPr>
      <t>http://www.tegradesign.com</t>
    </r>
  </si>
  <si>
    <r>
      <rPr>
        <rFont val="Calibri"/>
        <color rgb="FF1155CC"/>
        <sz val="11.0"/>
        <u/>
      </rPr>
      <t>nazr.irfan@gmail.com</t>
    </r>
  </si>
  <si>
    <r>
      <rPr>
        <rFont val="Calibri"/>
        <color rgb="FF1155CC"/>
        <sz val="11.0"/>
        <u/>
      </rPr>
      <t>http://launchtitans.com</t>
    </r>
  </si>
  <si>
    <t>Ryan Smith</t>
  </si>
  <si>
    <t>dwn2776@hotmail.com
 ryan.smith@cmbr.co</t>
  </si>
  <si>
    <r>
      <rPr>
        <rFont val="Calibri"/>
        <color rgb="FF1155CC"/>
        <sz val="11.0"/>
        <u/>
      </rPr>
      <t>https://www.sobefy.com/</t>
    </r>
  </si>
  <si>
    <r>
      <rPr>
        <rFont val="Calibri"/>
        <color rgb="FF1155CC"/>
        <sz val="11.0"/>
        <u/>
      </rPr>
      <t>https://wearepathos.com/</t>
    </r>
  </si>
  <si>
    <t>fukushima.ryan@gmail.com
 ryan@tempus.com</t>
  </si>
  <si>
    <r>
      <rPr>
        <rFont val="Calibri"/>
        <color rgb="FF1155CC"/>
        <sz val="11.0"/>
        <u/>
      </rPr>
      <t>http://pkinformation.com</t>
    </r>
  </si>
  <si>
    <t>justin@pkinformation.com
 phillipkurpe@icloud.com</t>
  </si>
  <si>
    <r>
      <rPr>
        <rFont val="Calibri"/>
        <color rgb="FF1155CC"/>
        <sz val="11.0"/>
        <u/>
      </rPr>
      <t>http://www.ilumaagency.com</t>
    </r>
  </si>
  <si>
    <t>lisawaldorf@live.com aaron@illuminatistudios.com aaron@ilumaagency.com
 aaron@aleedesign.com.</t>
  </si>
  <si>
    <r>
      <rPr>
        <rFont val="Calibri"/>
        <color rgb="FF1155CC"/>
        <sz val="11.0"/>
        <u/>
      </rPr>
      <t>http://digitalnext.com</t>
    </r>
  </si>
  <si>
    <r>
      <rPr>
        <rFont val="Calibri"/>
        <color rgb="FF1155CC"/>
        <sz val="11.0"/>
        <u/>
      </rPr>
      <t>ahmetasar@live.com</t>
    </r>
    <r>
      <rPr>
        <rFont val="Calibri"/>
        <color theme="1"/>
        <sz val="11.0"/>
      </rPr>
      <t xml:space="preserve">
 palmtreeint@gmail.com</t>
    </r>
  </si>
  <si>
    <r>
      <rPr>
        <rFont val="Calibri"/>
        <color rgb="FF1155CC"/>
        <sz val="11.0"/>
        <u/>
      </rPr>
      <t>https://www.stationfour.com</t>
    </r>
  </si>
  <si>
    <t>christopherlahey@gmail.com
 laheyc@stationfour.com</t>
  </si>
  <si>
    <t>ICVM Hawk</t>
  </si>
  <si>
    <r>
      <rPr>
        <rFont val="Calibri"/>
        <color rgb="FF1155CC"/>
        <sz val="11.0"/>
        <u/>
      </rPr>
      <t>https://www.icvmhawk.com</t>
    </r>
  </si>
  <si>
    <t>stephenkrain@gmail.com stephen.krain@gmail.com</t>
  </si>
  <si>
    <r>
      <rPr>
        <rFont val="Calibri"/>
        <color rgb="FF1155CC"/>
        <sz val="11.0"/>
        <u/>
      </rPr>
      <t>http://www.atilus.com</t>
    </r>
  </si>
  <si>
    <t>Bonita Springs, Florida, United States</t>
  </si>
  <si>
    <r>
      <rPr>
        <rFont val="Calibri"/>
        <color rgb="FF1155CC"/>
        <sz val="11.0"/>
        <u/>
      </rPr>
      <t>soleil691@yahoo.com</t>
    </r>
  </si>
  <si>
    <r>
      <rPr>
        <rFont val="Calibri"/>
        <color rgb="FF1155CC"/>
        <sz val="11.0"/>
        <u/>
      </rPr>
      <t>www.5ivecanons.com</t>
    </r>
  </si>
  <si>
    <t>9043532900,
  7869250131 
  9548764923</t>
  </si>
  <si>
    <t>nmckinnon091@gmail.com
 nicole@5ivecanons.com</t>
  </si>
  <si>
    <r>
      <rPr>
        <rFont val="Calibri"/>
        <color rgb="FF1155CC"/>
        <sz val="11.0"/>
        <u/>
      </rPr>
      <t>http://www.starrenterprises.com</t>
    </r>
  </si>
  <si>
    <t>bjstarr@cox.net
 bj@kirkelliotthome.com</t>
  </si>
  <si>
    <r>
      <rPr>
        <rFont val="Calibri"/>
        <color rgb="FF1155CC"/>
        <sz val="11.0"/>
        <u/>
      </rPr>
      <t>http://www.Magnetic.com</t>
    </r>
  </si>
  <si>
    <t>jennyburns55@googlemail.com, jenny.burns@fluxx.uk.com,
 jenny.burns@wearemagnetic.com</t>
  </si>
  <si>
    <r>
      <rPr>
        <rFont val="Calibri"/>
        <color rgb="FF1155CC"/>
        <sz val="11.0"/>
        <u/>
      </rPr>
      <t>http://www.seychellemedia.com</t>
    </r>
  </si>
  <si>
    <t>brookedoucha@gmail.com
 brooke@seychellemedia.com</t>
  </si>
  <si>
    <r>
      <rPr>
        <rFont val="Calibri"/>
        <color rgb="FF1155CC"/>
        <sz val="11.0"/>
        <u/>
      </rPr>
      <t>http://www.thinkpodagency.com</t>
    </r>
  </si>
  <si>
    <t>aubreyburkhart@comcast.net
 hello@thinkpodagency.com</t>
  </si>
  <si>
    <t>Resolve Digital</t>
  </si>
  <si>
    <r>
      <rPr>
        <rFont val="Calibri"/>
        <color rgb="FF1155CC"/>
        <sz val="11.0"/>
        <u/>
      </rPr>
      <t>https://resolve.digital</t>
    </r>
  </si>
  <si>
    <t>dhemmat@gmail.com, 
 riazhack@gmail.com 
 david.hemmat@resolve.digital</t>
  </si>
  <si>
    <r>
      <rPr>
        <rFont val="Calibri"/>
        <color rgb="FF1155CC"/>
        <sz val="11.0"/>
        <u/>
      </rPr>
      <t>http://enspirecreative.com</t>
    </r>
  </si>
  <si>
    <t>thawk23@gmail.com
 adamdustinlawrence@gmail.com
 adam@enspirecreative.com</t>
  </si>
  <si>
    <r>
      <rPr>
        <rFont val="Calibri"/>
        <color rgb="FF1155CC"/>
        <sz val="11.0"/>
        <u/>
      </rPr>
      <t>http://tabithanaylor.com/</t>
    </r>
  </si>
  <si>
    <t>tabithajnaylor@gmail.com
  tabitha@tabithanaylor.com</t>
  </si>
  <si>
    <r>
      <rPr>
        <rFont val="Calibri"/>
        <color rgb="FF1155CC"/>
        <sz val="11.0"/>
        <u/>
      </rPr>
      <t>https://www.thinkagency.com/</t>
    </r>
  </si>
  <si>
    <t>Michael Bimonte</t>
  </si>
  <si>
    <t>toyota65@sbcglobal.net 
  m.bimonte@thinkagency.com</t>
  </si>
  <si>
    <r>
      <rPr>
        <rFont val="Calibri"/>
        <color rgb="FF1155CC"/>
        <sz val="11.0"/>
        <u/>
      </rPr>
      <t>http://c3medianetwork.com</t>
    </r>
  </si>
  <si>
    <t>chrisk@c3medianetwork.com
 ckoch4@tampabay.rr.com</t>
  </si>
  <si>
    <t>ramagency.us</t>
  </si>
  <si>
    <t>Ryan McGowan</t>
  </si>
  <si>
    <t>Street:
 10311 NW 48TH CT
 City:
 Coral Springs
 State:
 FL
 Postal Code:
 33076
 Country:
 US</t>
  </si>
  <si>
    <r>
      <rPr>
        <rFont val="Calibri"/>
        <color rgb="FF1155CC"/>
        <sz val="11.0"/>
        <u/>
      </rPr>
      <t>https://www.localmanagement.us/</t>
    </r>
  </si>
  <si>
    <t>Dale County, Alabama, United States</t>
  </si>
  <si>
    <t>nobletaxservice@gmail.com
 christine@localmanagement.us</t>
  </si>
  <si>
    <t>Street:
 calle 86 52 98
 City:
 Barranquilla
 State:
 Alabama
 Postal Code:
 08001000
 Country:
 US</t>
  </si>
  <si>
    <r>
      <rPr>
        <rFont val="Calibri"/>
        <color rgb="FF1155CC"/>
        <sz val="11.0"/>
        <u/>
      </rPr>
      <t>hugoreyes@hotmail.com</t>
    </r>
  </si>
  <si>
    <r>
      <rPr>
        <rFont val="Calibri"/>
        <color rgb="FF1155CC"/>
        <sz val="11.0"/>
        <u/>
      </rPr>
      <t>https://www.marketingexpertagency.com/</t>
    </r>
  </si>
  <si>
    <r>
      <rPr>
        <rFont val="Calibri"/>
        <color rgb="FF1155CC"/>
        <sz val="11.0"/>
        <u/>
      </rPr>
      <t>marketingexpertagency@hotmail.com,</t>
    </r>
    <r>
      <rPr>
        <rFont val="Calibri"/>
        <color theme="1"/>
        <sz val="11.0"/>
      </rPr>
      <t xml:space="preserve">
 jose@marketingexpertagency.com</t>
    </r>
  </si>
  <si>
    <r>
      <rPr>
        <rFont val="Calibri"/>
        <color rgb="FF1155CC"/>
        <sz val="11.0"/>
        <u/>
      </rPr>
      <t>http://www.hooah.cc</t>
    </r>
  </si>
  <si>
    <t>Orlando, Florida Area</t>
  </si>
  <si>
    <t>melodymcmillian@gmail.com, 
 mcmillian44@yahoo.com, melody@mastersoftware.nl</t>
  </si>
  <si>
    <r>
      <rPr>
        <rFont val="Calibri"/>
        <color rgb="FF1155CC"/>
        <sz val="11.0"/>
        <u/>
      </rPr>
      <t>https://captivation.agency</t>
    </r>
  </si>
  <si>
    <r>
      <rPr>
        <rFont val="Calibri"/>
        <color rgb="FF1155CC"/>
        <sz val="11.0"/>
        <u/>
      </rPr>
      <t>http://www.adwiremedia.com</t>
    </r>
  </si>
  <si>
    <t>alexolsonvargas@gmail.com,
 mark@adwiremedia.com</t>
  </si>
  <si>
    <t>PeakBiety Branding</t>
  </si>
  <si>
    <r>
      <rPr>
        <rFont val="Calibri"/>
        <color rgb="FF1155CC"/>
        <sz val="11.0"/>
        <u/>
      </rPr>
      <t>www.peakbiety.com</t>
    </r>
  </si>
  <si>
    <t>Amy Phillips</t>
  </si>
  <si>
    <r>
      <rPr>
        <rFont val="Calibri"/>
        <color rgb="FF1155CC"/>
        <sz val="11.0"/>
        <u/>
      </rPr>
      <t>https://zelencommunications.com/</t>
    </r>
  </si>
  <si>
    <t>terryzelen@gmail.com ,
 tzelen@zelencommunications.com</t>
  </si>
  <si>
    <r>
      <rPr>
        <rFont val="Calibri"/>
        <color rgb="FF1155CC"/>
        <sz val="11.0"/>
        <u/>
      </rPr>
      <t>http://www.dmedelivers.com</t>
    </r>
  </si>
  <si>
    <t>tom.weber@dmedelivers.com
 webink@comcast.net
 barbweber@comcast.net</t>
  </si>
  <si>
    <r>
      <rPr>
        <rFont val="Calibri"/>
        <color rgb="FF1155CC"/>
        <sz val="11.0"/>
        <u/>
      </rPr>
      <t>http://www.DaishoCreative.com</t>
    </r>
  </si>
  <si>
    <t>786-210-3571
 1.3052345617
 786-542-8563
 305-333-1322
 305-234-5617</t>
  </si>
  <si>
    <r>
      <rPr>
        <rFont val="Calibri"/>
        <color rgb="FF1155CC"/>
        <sz val="11.0"/>
        <u/>
      </rPr>
      <t>frank@daishocreative.com</t>
    </r>
    <r>
      <rPr>
        <rFont val="Calibri"/>
        <sz val="11.0"/>
      </rPr>
      <t xml:space="preserve">
 frankirias@gmail.com</t>
    </r>
  </si>
  <si>
    <t>Referrizer LLC</t>
  </si>
  <si>
    <t>cvijo82@gmail.com,
 andre.c@referrizer.com
  noah@referrizer.com</t>
  </si>
  <si>
    <t>ryan@webmonster.com
 aaronjordan2010@hotmail.com</t>
  </si>
  <si>
    <t>leonardobarros@solvedpuzzle.com
 leobr1519@hotmail.com</t>
  </si>
  <si>
    <r>
      <rPr>
        <rFont val="Calibri"/>
        <color rgb="FF1155CC"/>
        <sz val="11.0"/>
        <u/>
      </rPr>
      <t>https://3sigmadigital.com/</t>
    </r>
  </si>
  <si>
    <r>
      <rPr>
        <rFont val="Calibri"/>
        <color rgb="FF1155CC"/>
        <sz val="11.0"/>
        <u/>
      </rPr>
      <t>coreyg@gmail.com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</si>
</sst>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i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Google Sans"/>
    </font>
    <font>
      <sz val="11.0"/>
      <color theme="1"/>
      <name val="Inter"/>
    </font>
    <font>
      <sz val="11.0"/>
      <color rgb="FF050505"/>
      <name val="Segoe UI Historic"/>
    </font>
    <font>
      <sz val="11.0"/>
      <color theme="1"/>
      <name val="Arial"/>
    </font>
    <font>
      <b/>
      <color rgb="FF33426A"/>
      <name val="Open Sans"/>
    </font>
    <font>
      <sz val="12.0"/>
      <color theme="1"/>
      <name val="Arial"/>
    </font>
    <font>
      <sz val="11.0"/>
      <color rgb="FF475569"/>
      <name val="Inter"/>
    </font>
    <font>
      <sz val="12.0"/>
      <color theme="1"/>
      <name val="Inter"/>
    </font>
    <font>
      <sz val="12.0"/>
      <color rgb="FF70707B"/>
      <name val="Inter var"/>
    </font>
    <font>
      <sz val="11.0"/>
      <color theme="1"/>
      <name val="Roboto"/>
    </font>
    <font>
      <sz val="9.0"/>
      <color theme="1"/>
      <name val="Arial"/>
    </font>
    <font>
      <b/>
      <sz val="11.0"/>
      <color theme="1"/>
      <name val="Roboto"/>
    </font>
    <font>
      <sz val="11.0"/>
      <color rgb="FFA6A4A8"/>
      <name val="ABC Diatype"/>
    </font>
    <font>
      <sz val="14.0"/>
      <color theme="1"/>
      <name val="Roboto"/>
    </font>
    <font>
      <sz val="11.0"/>
      <color rgb="FFB8B6B9"/>
      <name val="ABC Diatype"/>
    </font>
    <font>
      <sz val="12.0"/>
      <color theme="1"/>
      <name val="Roboto"/>
    </font>
    <font>
      <sz val="12.0"/>
      <color theme="1"/>
      <name val="Google Sans"/>
    </font>
    <font>
      <sz val="12.0"/>
      <color rgb="FF34383F"/>
      <name val="Inter"/>
    </font>
    <font>
      <sz val="11.0"/>
      <color rgb="FF000000"/>
      <name val="-apple-system"/>
    </font>
    <font>
      <u/>
      <sz val="11.0"/>
      <color rgb="FF0000FF"/>
      <name val="Arial"/>
    </font>
    <font>
      <u/>
      <color theme="1"/>
      <name val="Arial"/>
    </font>
    <font>
      <sz val="12.0"/>
      <color rgb="FF0A0A0A"/>
      <name val="Google Sans"/>
    </font>
    <font>
      <b/>
      <sz val="11.0"/>
      <color rgb="FF767676"/>
      <name val="Arial"/>
    </font>
    <font>
      <sz val="11.0"/>
      <color rgb="FF000000"/>
      <name val="Arial"/>
    </font>
    <font>
      <sz val="12.0"/>
      <color theme="1"/>
      <name val="Inter var"/>
    </font>
    <font>
      <sz val="11.0"/>
      <color rgb="FF34383F"/>
      <name val="Inter"/>
    </font>
    <font>
      <sz val="11.0"/>
      <color rgb="FF3F3F46"/>
      <name val="Inter var"/>
    </font>
    <font>
      <sz val="11.0"/>
      <color rgb="FF0A0A0A"/>
      <name val="Arial"/>
    </font>
    <font>
      <sz val="11.0"/>
      <color rgb="FF0A0A0A"/>
      <name val="Google Sans"/>
    </font>
    <font>
      <sz val="11.0"/>
      <color rgb="FF474747"/>
      <name val="Arial"/>
    </font>
    <font>
      <sz val="11.0"/>
      <color theme="1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sz val="11.0"/>
      <color theme="1"/>
      <name val="Calibri"/>
    </font>
    <font>
      <u/>
      <sz val="11.0"/>
      <color rgb="FF0563C1"/>
      <name val="Calibri"/>
    </font>
    <font>
      <sz val="11.0"/>
      <color rgb="FF0563C1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color rgb="FF000000"/>
      <name val="Arial"/>
    </font>
    <font>
      <u/>
      <color rgb="FF0000FF"/>
      <name val="Arial"/>
    </font>
    <font>
      <b/>
      <sz val="12.0"/>
      <color rgb="FF000000"/>
      <name val="&quot;Google Sans&quot;"/>
    </font>
    <font>
      <sz val="11.0"/>
      <color rgb="FF000000"/>
      <name val="Inter"/>
    </font>
    <font>
      <sz val="11.0"/>
      <color rgb="FF050505"/>
      <name val="&quot;Segoe UI Historic&quot;"/>
    </font>
    <font>
      <b/>
      <color rgb="FF33426A"/>
      <name val="&quot;Open Sans&quot;"/>
    </font>
    <font>
      <sz val="12.0"/>
      <color rgb="FF000000"/>
      <name val="Arial"/>
    </font>
    <font>
      <sz val="12.0"/>
      <color rgb="FF000000"/>
      <name val="Inter"/>
    </font>
    <font>
      <sz val="12.0"/>
      <color rgb="FF70707B"/>
      <name val="&quot;Inter var&quot;"/>
    </font>
    <font>
      <sz val="11.0"/>
      <color rgb="FF000000"/>
      <name val="Roboto"/>
    </font>
    <font>
      <sz val="9.0"/>
      <color rgb="FF000000"/>
      <name val="Arial"/>
    </font>
    <font>
      <b/>
      <sz val="11.0"/>
      <color rgb="FF000000"/>
      <name val="Roboto"/>
    </font>
    <font>
      <sz val="11.0"/>
      <color rgb="FFA6A4A8"/>
      <name val="&quot;ABC Diatype&quot;"/>
    </font>
    <font>
      <sz val="14.0"/>
      <color rgb="FF000000"/>
      <name val="Roboto"/>
    </font>
    <font>
      <sz val="11.0"/>
      <color rgb="FFB8B6B9"/>
      <name val="&quot;ABC Diatype&quot;"/>
    </font>
    <font>
      <sz val="12.0"/>
      <color rgb="FF000000"/>
      <name val="Roboto"/>
    </font>
    <font>
      <sz val="12.0"/>
      <color rgb="FF000000"/>
      <name val="&quot;Google Sans&quot;"/>
    </font>
    <font>
      <u/>
      <sz val="11.0"/>
      <color rgb="FF0000FF"/>
      <name val="Arial"/>
    </font>
    <font>
      <u/>
      <color rgb="FF000000"/>
      <name val="Arial"/>
    </font>
    <font>
      <sz val="12.0"/>
      <color rgb="FF0A0A0A"/>
      <name val="&quot;Google Sans&quot;"/>
    </font>
    <font>
      <sz val="12.0"/>
      <color rgb="FF000000"/>
      <name val="&quot;Inter var&quot;"/>
    </font>
    <font>
      <sz val="11.0"/>
      <color rgb="FF3F3F46"/>
      <name val="&quot;Inter var&quot;"/>
    </font>
    <font>
      <sz val="11.0"/>
      <color rgb="FF0A0A0A"/>
      <name val="&quot;Google Sans&quot;"/>
    </font>
    <font>
      <sz val="11.0"/>
      <color rgb="FF000000"/>
      <name val="&quot;Times New Roman&quot;"/>
    </font>
    <font>
      <u/>
      <sz val="11.0"/>
      <color rgb="FF0000FF"/>
      <name val="&quot;Times New Roman&quot;"/>
    </font>
    <font>
      <u/>
      <sz val="11.0"/>
      <color rgb="FF000000"/>
      <name val="&quot;Times New Roman&quot;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AFCFF"/>
        <bgColor rgb="FFFAF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wrapText="0"/>
    </xf>
    <xf borderId="1" fillId="2" fontId="2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0" fontId="19" numFmtId="49" xfId="0" applyAlignment="1" applyBorder="1" applyFont="1" applyNumberFormat="1">
      <alignment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1" fillId="2" fontId="20" numFmtId="0" xfId="0" applyAlignment="1" applyBorder="1" applyFont="1">
      <alignment shrinkToFit="0" vertical="bottom" wrapText="0"/>
    </xf>
    <xf borderId="1" fillId="2" fontId="21" numFmtId="0" xfId="0" applyAlignment="1" applyBorder="1" applyFont="1">
      <alignment shrinkToFit="0" vertical="bottom" wrapText="0"/>
    </xf>
    <xf borderId="1" fillId="2" fontId="22" numFmtId="0" xfId="0" applyAlignment="1" applyBorder="1" applyFont="1">
      <alignment shrinkToFit="0" vertical="bottom" wrapText="0"/>
    </xf>
    <xf borderId="1" fillId="2" fontId="23" numFmtId="0" xfId="0" applyAlignment="1" applyBorder="1" applyFont="1">
      <alignment shrinkToFit="0" vertical="bottom" wrapText="0"/>
    </xf>
    <xf quotePrefix="1" borderId="1" fillId="0" fontId="2" numFmtId="0" xfId="0" applyAlignment="1" applyBorder="1" applyFon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3" fontId="25" numFmtId="0" xfId="0" applyAlignment="1" applyBorder="1" applyFill="1" applyFont="1">
      <alignment shrinkToFit="0" vertical="bottom" wrapText="0"/>
    </xf>
    <xf borderId="1" fillId="2" fontId="26" numFmtId="0" xfId="0" applyAlignment="1" applyBorder="1" applyFont="1">
      <alignment shrinkToFit="0" vertical="bottom" wrapText="0"/>
    </xf>
    <xf borderId="1" fillId="2" fontId="27" numFmtId="0" xfId="0" applyAlignment="1" applyBorder="1" applyFont="1">
      <alignment shrinkToFit="0" vertical="bottom" wrapText="0"/>
    </xf>
    <xf borderId="1" fillId="2" fontId="28" numFmtId="0" xfId="0" applyAlignment="1" applyBorder="1" applyFont="1">
      <alignment shrinkToFit="0" vertical="bottom" wrapText="0"/>
    </xf>
    <xf borderId="1" fillId="0" fontId="29" numFmtId="0" xfId="0" applyAlignment="1" applyBorder="1" applyFont="1">
      <alignment shrinkToFit="0" vertical="bottom" wrapText="0"/>
    </xf>
    <xf borderId="1" fillId="2" fontId="30" numFmtId="0" xfId="0" applyAlignment="1" applyBorder="1" applyFont="1">
      <alignment shrinkToFit="0" vertical="bottom" wrapText="0"/>
    </xf>
    <xf borderId="1" fillId="2" fontId="31" numFmtId="0" xfId="0" applyAlignment="1" applyBorder="1" applyFont="1">
      <alignment shrinkToFit="0" vertical="bottom" wrapText="0"/>
    </xf>
    <xf borderId="1" fillId="2" fontId="32" numFmtId="0" xfId="0" applyAlignment="1" applyBorder="1" applyFont="1">
      <alignment shrinkToFit="0" vertical="bottom" wrapText="0"/>
    </xf>
    <xf borderId="1" fillId="4" fontId="12" numFmtId="0" xfId="0" applyAlignment="1" applyBorder="1" applyFill="1" applyFont="1">
      <alignment shrinkToFit="0" vertical="bottom" wrapText="0"/>
    </xf>
    <xf borderId="1" fillId="2" fontId="33" numFmtId="0" xfId="0" applyAlignment="1" applyBorder="1" applyFont="1">
      <alignment shrinkToFit="0" vertical="bottom" wrapText="0"/>
    </xf>
    <xf borderId="1" fillId="2" fontId="34" numFmtId="0" xfId="0" applyAlignment="1" applyBorder="1" applyFont="1">
      <alignment shrinkToFit="0" vertical="bottom" wrapText="0"/>
    </xf>
    <xf borderId="1" fillId="0" fontId="35" numFmtId="0" xfId="0" applyAlignment="1" applyBorder="1" applyFont="1">
      <alignment shrinkToFit="0" vertical="bottom" wrapText="0"/>
    </xf>
    <xf borderId="1" fillId="0" fontId="36" numFmtId="0" xfId="0" applyAlignment="1" applyBorder="1" applyFont="1">
      <alignment shrinkToFit="0" vertical="bottom" wrapText="0"/>
    </xf>
    <xf borderId="1" fillId="0" fontId="35" numFmtId="0" xfId="0" applyAlignment="1" applyBorder="1" applyFont="1">
      <alignment shrinkToFit="0" vertical="bottom" wrapText="0"/>
    </xf>
    <xf borderId="1" fillId="0" fontId="37" numFmtId="0" xfId="0" applyAlignment="1" applyBorder="1" applyFont="1">
      <alignment shrinkToFit="0" vertical="bottom" wrapText="0"/>
    </xf>
    <xf quotePrefix="1" borderId="1" fillId="0" fontId="35" numFmtId="0" xfId="0" applyAlignment="1" applyBorder="1" applyFont="1">
      <alignment shrinkToFit="0" vertical="bottom" wrapText="0"/>
    </xf>
    <xf borderId="1" fillId="0" fontId="38" numFmtId="0" xfId="0" applyAlignment="1" applyBorder="1" applyFont="1">
      <alignment shrinkToFit="0" vertical="bottom" wrapText="0"/>
    </xf>
    <xf borderId="1" fillId="0" fontId="39" numFmtId="0" xfId="0" applyAlignment="1" applyBorder="1" applyFont="1">
      <alignment shrinkToFit="0" vertical="bottom" wrapText="0"/>
    </xf>
    <xf quotePrefix="1" borderId="1" fillId="0" fontId="38" numFmtId="0" xfId="0" applyAlignment="1" applyBorder="1" applyFont="1">
      <alignment shrinkToFit="0" vertical="bottom" wrapText="0"/>
    </xf>
    <xf borderId="1" fillId="0" fontId="38" numFmtId="0" xfId="0" applyAlignment="1" applyBorder="1" applyFont="1">
      <alignment horizontal="right" shrinkToFit="0" vertical="bottom" wrapText="0"/>
    </xf>
    <xf borderId="1" fillId="0" fontId="40" numFmtId="0" xfId="0" applyAlignment="1" applyBorder="1" applyFont="1">
      <alignment shrinkToFit="0" vertical="bottom" wrapText="0"/>
    </xf>
    <xf quotePrefix="1" borderId="1" fillId="0" fontId="41" numFmtId="0" xfId="0" applyAlignment="1" applyBorder="1" applyFont="1">
      <alignment shrinkToFit="0" vertical="bottom" wrapText="0"/>
    </xf>
    <xf borderId="1" fillId="0" fontId="42" numFmtId="0" xfId="0" applyAlignment="1" applyBorder="1" applyFont="1">
      <alignment shrinkToFit="0" vertical="bottom" wrapText="0"/>
    </xf>
    <xf borderId="1" fillId="0" fontId="43" numFmtId="0" xfId="0" applyAlignment="1" applyBorder="1" applyFont="1">
      <alignment shrinkToFit="0" vertical="bottom" wrapText="0"/>
    </xf>
    <xf borderId="1" fillId="0" fontId="44" numFmtId="0" xfId="0" applyAlignment="1" applyBorder="1" applyFont="1">
      <alignment readingOrder="0" shrinkToFit="0" vertical="bottom" wrapText="0"/>
    </xf>
    <xf borderId="1" fillId="0" fontId="45" numFmtId="0" xfId="0" applyAlignment="1" applyBorder="1" applyFont="1">
      <alignment readingOrder="0" shrinkToFit="0" vertical="bottom" wrapText="0"/>
    </xf>
    <xf borderId="1" fillId="2" fontId="46" numFmtId="0" xfId="0" applyAlignment="1" applyBorder="1" applyFont="1">
      <alignment readingOrder="0" shrinkToFit="0" vertical="bottom" wrapText="0"/>
    </xf>
    <xf borderId="1" fillId="0" fontId="47" numFmtId="0" xfId="0" applyAlignment="1" applyBorder="1" applyFont="1">
      <alignment readingOrder="0" shrinkToFit="0" vertical="bottom" wrapText="0"/>
    </xf>
    <xf borderId="1" fillId="2" fontId="48" numFmtId="0" xfId="0" applyAlignment="1" applyBorder="1" applyFont="1">
      <alignment horizontal="right" readingOrder="0" shrinkToFit="0" vertical="bottom" wrapText="0"/>
    </xf>
    <xf borderId="1" fillId="0" fontId="28" numFmtId="0" xfId="0" applyAlignment="1" applyBorder="1" applyFont="1">
      <alignment readingOrder="0" shrinkToFit="0" vertical="bottom" wrapText="0"/>
    </xf>
    <xf borderId="1" fillId="2" fontId="49" numFmtId="0" xfId="0" applyAlignment="1" applyBorder="1" applyFont="1">
      <alignment readingOrder="0" shrinkToFit="0" vertical="bottom" wrapText="0"/>
    </xf>
    <xf borderId="1" fillId="0" fontId="50" numFmtId="0" xfId="0" applyAlignment="1" applyBorder="1" applyFont="1">
      <alignment readingOrder="0" shrinkToFit="0" vertical="bottom" wrapText="0"/>
    </xf>
    <xf borderId="1" fillId="2" fontId="11" numFmtId="0" xfId="0" applyAlignment="1" applyBorder="1" applyFont="1">
      <alignment readingOrder="0" shrinkToFit="0" vertical="bottom" wrapText="0"/>
    </xf>
    <xf borderId="1" fillId="2" fontId="28" numFmtId="0" xfId="0" applyAlignment="1" applyBorder="1" applyFont="1">
      <alignment readingOrder="0" shrinkToFit="0" vertical="bottom" wrapText="0"/>
    </xf>
    <xf borderId="1" fillId="2" fontId="51" numFmtId="0" xfId="0" applyAlignment="1" applyBorder="1" applyFont="1">
      <alignment readingOrder="0" shrinkToFit="0" vertical="bottom" wrapText="0"/>
    </xf>
    <xf borderId="1" fillId="0" fontId="52" numFmtId="0" xfId="0" applyAlignment="1" applyBorder="1" applyFont="1">
      <alignment readingOrder="0" shrinkToFit="0" vertical="bottom" wrapText="0"/>
    </xf>
    <xf borderId="1" fillId="2" fontId="53" numFmtId="0" xfId="0" applyAlignment="1" applyBorder="1" applyFont="1">
      <alignment readingOrder="0" shrinkToFit="0" vertical="bottom" wrapText="0"/>
    </xf>
    <xf borderId="1" fillId="0" fontId="54" numFmtId="0" xfId="0" applyAlignment="1" applyBorder="1" applyFont="1">
      <alignment readingOrder="0" shrinkToFit="0" vertical="bottom" wrapText="0"/>
    </xf>
    <xf borderId="1" fillId="2" fontId="55" numFmtId="0" xfId="0" applyAlignment="1" applyBorder="1" applyFont="1">
      <alignment readingOrder="0" shrinkToFit="0" vertical="bottom" wrapText="0"/>
    </xf>
    <xf borderId="1" fillId="0" fontId="44" numFmtId="0" xfId="0" applyAlignment="1" applyBorder="1" applyFont="1">
      <alignment horizontal="right" readingOrder="0" shrinkToFit="0" vertical="bottom" wrapText="0"/>
    </xf>
    <xf borderId="1" fillId="0" fontId="44" numFmtId="11" xfId="0" applyAlignment="1" applyBorder="1" applyFont="1" applyNumberFormat="1">
      <alignment horizontal="right" readingOrder="0" shrinkToFit="0" vertical="bottom" wrapText="0"/>
    </xf>
    <xf borderId="1" fillId="0" fontId="56" numFmtId="11" xfId="0" applyAlignment="1" applyBorder="1" applyFont="1" applyNumberFormat="1">
      <alignment horizontal="right" readingOrder="0" shrinkToFit="0" vertical="bottom" wrapText="0"/>
    </xf>
    <xf borderId="1" fillId="2" fontId="57" numFmtId="0" xfId="0" applyAlignment="1" applyBorder="1" applyFont="1">
      <alignment readingOrder="0" shrinkToFit="0" vertical="bottom" wrapText="0"/>
    </xf>
    <xf borderId="1" fillId="2" fontId="50" numFmtId="0" xfId="0" applyAlignment="1" applyBorder="1" applyFont="1">
      <alignment readingOrder="0" shrinkToFit="0" vertical="bottom" wrapText="0"/>
    </xf>
    <xf borderId="1" fillId="0" fontId="58" numFmtId="0" xfId="0" applyAlignment="1" applyBorder="1" applyFont="1">
      <alignment readingOrder="0" shrinkToFit="0" vertical="bottom" wrapText="0"/>
    </xf>
    <xf borderId="1" fillId="2" fontId="59" numFmtId="0" xfId="0" applyAlignment="1" applyBorder="1" applyFont="1">
      <alignment readingOrder="0" shrinkToFit="0" vertical="bottom" wrapText="0"/>
    </xf>
    <xf borderId="1" fillId="2" fontId="60" numFmtId="0" xfId="0" applyAlignment="1" applyBorder="1" applyFont="1">
      <alignment readingOrder="0" shrinkToFit="0" vertical="bottom" wrapText="0"/>
    </xf>
    <xf borderId="1" fillId="0" fontId="44" numFmtId="0" xfId="0" applyAlignment="1" applyBorder="1" applyFont="1">
      <alignment shrinkToFit="0" vertical="bottom" wrapText="0"/>
    </xf>
    <xf borderId="1" fillId="2" fontId="22" numFmtId="0" xfId="0" applyAlignment="1" applyBorder="1" applyFont="1">
      <alignment readingOrder="0" shrinkToFit="0" vertical="bottom" wrapText="0"/>
    </xf>
    <xf borderId="1" fillId="2" fontId="23" numFmtId="0" xfId="0" applyAlignment="1" applyBorder="1" applyFont="1">
      <alignment readingOrder="0" shrinkToFit="0" vertical="bottom" wrapText="0"/>
    </xf>
    <xf borderId="1" fillId="0" fontId="61" numFmtId="0" xfId="0" applyAlignment="1" applyBorder="1" applyFont="1">
      <alignment readingOrder="0" shrinkToFit="0" vertical="bottom" wrapText="0"/>
    </xf>
    <xf borderId="1" fillId="3" fontId="62" numFmtId="0" xfId="0" applyAlignment="1" applyBorder="1" applyFont="1">
      <alignment readingOrder="0" shrinkToFit="0" vertical="bottom" wrapText="0"/>
    </xf>
    <xf borderId="1" fillId="2" fontId="63" numFmtId="0" xfId="0" applyAlignment="1" applyBorder="1" applyFont="1">
      <alignment readingOrder="0" shrinkToFit="0" vertical="bottom" wrapText="0"/>
    </xf>
    <xf borderId="1" fillId="2" fontId="27" numFmtId="0" xfId="0" applyAlignment="1" applyBorder="1" applyFont="1">
      <alignment readingOrder="0" shrinkToFit="0" vertical="bottom" wrapText="0"/>
    </xf>
    <xf borderId="1" fillId="0" fontId="64" numFmtId="11" xfId="0" applyAlignment="1" applyBorder="1" applyFont="1" applyNumberFormat="1">
      <alignment horizontal="right" readingOrder="0" shrinkToFit="0" vertical="bottom" wrapText="0"/>
    </xf>
    <xf borderId="1" fillId="0" fontId="64" numFmtId="0" xfId="0" applyAlignment="1" applyBorder="1" applyFont="1">
      <alignment readingOrder="0" shrinkToFit="0" vertical="bottom" wrapText="0"/>
    </xf>
    <xf borderId="1" fillId="2" fontId="30" numFmtId="0" xfId="0" applyAlignment="1" applyBorder="1" applyFont="1">
      <alignment readingOrder="0" shrinkToFit="0" vertical="bottom" wrapText="0"/>
    </xf>
    <xf borderId="1" fillId="2" fontId="65" numFmtId="0" xfId="0" applyAlignment="1" applyBorder="1" applyFont="1">
      <alignment readingOrder="0" shrinkToFit="0" vertical="bottom" wrapText="0"/>
    </xf>
    <xf borderId="1" fillId="2" fontId="32" numFmtId="0" xfId="0" applyAlignment="1" applyBorder="1" applyFont="1">
      <alignment readingOrder="0" shrinkToFit="0" vertical="bottom" wrapText="0"/>
    </xf>
    <xf borderId="1" fillId="4" fontId="51" numFmtId="0" xfId="0" applyAlignment="1" applyBorder="1" applyFont="1">
      <alignment readingOrder="0" shrinkToFit="0" vertical="bottom" wrapText="0"/>
    </xf>
    <xf borderId="1" fillId="2" fontId="66" numFmtId="0" xfId="0" applyAlignment="1" applyBorder="1" applyFont="1">
      <alignment readingOrder="0" shrinkToFit="0" vertical="bottom" wrapText="0"/>
    </xf>
    <xf borderId="1" fillId="2" fontId="34" numFmtId="0" xfId="0" applyAlignment="1" applyBorder="1" applyFont="1">
      <alignment readingOrder="0" shrinkToFit="0" vertical="bottom" wrapText="0"/>
    </xf>
    <xf borderId="1" fillId="0" fontId="67" numFmtId="0" xfId="0" applyAlignment="1" applyBorder="1" applyFont="1">
      <alignment readingOrder="0" shrinkToFit="0" vertical="bottom" wrapText="0"/>
    </xf>
    <xf borderId="1" fillId="0" fontId="68" numFmtId="0" xfId="0" applyAlignment="1" applyBorder="1" applyFont="1">
      <alignment readingOrder="0" shrinkToFit="0" vertical="bottom" wrapText="0"/>
    </xf>
    <xf borderId="1" fillId="0" fontId="67" numFmtId="0" xfId="0" applyAlignment="1" applyBorder="1" applyFont="1">
      <alignment shrinkToFit="0" vertical="bottom" wrapText="0"/>
    </xf>
    <xf borderId="1" fillId="0" fontId="69" numFmtId="0" xfId="0" applyAlignment="1" applyBorder="1" applyFont="1">
      <alignment readingOrder="0" shrinkToFit="0" vertical="bottom" wrapText="0"/>
    </xf>
    <xf borderId="1" fillId="0" fontId="70" numFmtId="0" xfId="0" applyAlignment="1" applyBorder="1" applyFont="1">
      <alignment readingOrder="0" shrinkToFit="0" vertical="bottom" wrapText="0"/>
    </xf>
    <xf borderId="1" fillId="0" fontId="71" numFmtId="0" xfId="0" applyAlignment="1" applyBorder="1" applyFont="1">
      <alignment readingOrder="0" shrinkToFit="0" vertical="bottom" wrapText="0"/>
    </xf>
    <xf borderId="1" fillId="0" fontId="70" numFmtId="0" xfId="0" applyAlignment="1" applyBorder="1" applyFont="1">
      <alignment shrinkToFit="0" vertical="bottom" wrapText="0"/>
    </xf>
    <xf borderId="1" fillId="0" fontId="70" numFmtId="0" xfId="0" applyAlignment="1" applyBorder="1" applyFont="1">
      <alignment horizontal="right" readingOrder="0" shrinkToFit="0" vertical="bottom" wrapText="0"/>
    </xf>
    <xf borderId="1" fillId="0" fontId="72" numFmtId="0" xfId="0" applyAlignment="1" applyBorder="1" applyFont="1">
      <alignment readingOrder="0" shrinkToFit="0" vertical="bottom" wrapText="0"/>
    </xf>
    <xf borderId="1" fillId="0" fontId="73" numFmtId="0" xfId="0" applyAlignment="1" applyBorder="1" applyFont="1">
      <alignment readingOrder="0" shrinkToFit="0" vertical="bottom" wrapText="0"/>
    </xf>
    <xf borderId="1" fillId="0" fontId="38" numFmtId="0" xfId="0" applyAlignment="1" applyBorder="1" applyFont="1">
      <alignment readingOrder="0" shrinkToFit="0" vertical="bottom" wrapText="0"/>
    </xf>
    <xf borderId="1" fillId="0" fontId="40" numFmtId="0" xfId="0" applyAlignment="1" applyBorder="1" applyFont="1">
      <alignment readingOrder="0" shrinkToFit="0" vertical="bottom" wrapText="0"/>
    </xf>
    <xf borderId="1" fillId="0" fontId="7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5ivecanons.com/" TargetMode="External"/><Relationship Id="rId194" Type="http://schemas.openxmlformats.org/officeDocument/2006/relationships/hyperlink" Target="http://www.thinkpodagency.com/" TargetMode="External"/><Relationship Id="rId193" Type="http://schemas.openxmlformats.org/officeDocument/2006/relationships/hyperlink" Target="http://www.seychellemedia.com/" TargetMode="External"/><Relationship Id="rId192" Type="http://schemas.openxmlformats.org/officeDocument/2006/relationships/hyperlink" Target="http://www.magnetic.com/" TargetMode="External"/><Relationship Id="rId191" Type="http://schemas.openxmlformats.org/officeDocument/2006/relationships/hyperlink" Target="http://www.starrenterprises.com/" TargetMode="External"/><Relationship Id="rId187" Type="http://schemas.openxmlformats.org/officeDocument/2006/relationships/hyperlink" Target="https://www.icvmhawk.com/" TargetMode="External"/><Relationship Id="rId186" Type="http://schemas.openxmlformats.org/officeDocument/2006/relationships/hyperlink" Target="https://www.stationfour.com/" TargetMode="External"/><Relationship Id="rId185" Type="http://schemas.openxmlformats.org/officeDocument/2006/relationships/hyperlink" Target="about:blank" TargetMode="External"/><Relationship Id="rId184" Type="http://schemas.openxmlformats.org/officeDocument/2006/relationships/hyperlink" Target="http://digitalnext.com/" TargetMode="External"/><Relationship Id="rId189" Type="http://schemas.openxmlformats.org/officeDocument/2006/relationships/hyperlink" Target="mailto:soleil691@yahoo.com" TargetMode="External"/><Relationship Id="rId188" Type="http://schemas.openxmlformats.org/officeDocument/2006/relationships/hyperlink" Target="http://www.atilus.com/" TargetMode="External"/><Relationship Id="rId183" Type="http://schemas.openxmlformats.org/officeDocument/2006/relationships/hyperlink" Target="http://www.ilumaagency.com/" TargetMode="External"/><Relationship Id="rId182" Type="http://schemas.openxmlformats.org/officeDocument/2006/relationships/hyperlink" Target="http://pkinformation.com/" TargetMode="External"/><Relationship Id="rId181" Type="http://schemas.openxmlformats.org/officeDocument/2006/relationships/hyperlink" Target="https://wearepathos.com/" TargetMode="External"/><Relationship Id="rId180" Type="http://schemas.openxmlformats.org/officeDocument/2006/relationships/hyperlink" Target="https://www.sobefy.com/" TargetMode="External"/><Relationship Id="rId176" Type="http://schemas.openxmlformats.org/officeDocument/2006/relationships/hyperlink" Target="mailto:josh@bigmedium.com" TargetMode="External"/><Relationship Id="rId297" Type="http://schemas.openxmlformats.org/officeDocument/2006/relationships/hyperlink" Target="http://wakefly.com/" TargetMode="External"/><Relationship Id="rId175" Type="http://schemas.openxmlformats.org/officeDocument/2006/relationships/hyperlink" Target="https://bigmedium.com/" TargetMode="External"/><Relationship Id="rId296" Type="http://schemas.openxmlformats.org/officeDocument/2006/relationships/hyperlink" Target="http://nix-united.com/" TargetMode="External"/><Relationship Id="rId174" Type="http://schemas.openxmlformats.org/officeDocument/2006/relationships/hyperlink" Target="https://www.2ton.com/" TargetMode="External"/><Relationship Id="rId295" Type="http://schemas.openxmlformats.org/officeDocument/2006/relationships/hyperlink" Target="http://temperandforge.com/" TargetMode="External"/><Relationship Id="rId173" Type="http://schemas.openxmlformats.org/officeDocument/2006/relationships/hyperlink" Target="https://redrocketstudios.com/" TargetMode="External"/><Relationship Id="rId294" Type="http://schemas.openxmlformats.org/officeDocument/2006/relationships/hyperlink" Target="http://sumatosoft.com/" TargetMode="External"/><Relationship Id="rId179" Type="http://schemas.openxmlformats.org/officeDocument/2006/relationships/hyperlink" Target="http://launchtitans.com/" TargetMode="External"/><Relationship Id="rId178" Type="http://schemas.openxmlformats.org/officeDocument/2006/relationships/hyperlink" Target="mailto:nazr.irfan@gmail.com" TargetMode="External"/><Relationship Id="rId299" Type="http://schemas.openxmlformats.org/officeDocument/2006/relationships/hyperlink" Target="http://vairix.com/" TargetMode="External"/><Relationship Id="rId177" Type="http://schemas.openxmlformats.org/officeDocument/2006/relationships/hyperlink" Target="http://www.tegradesign.com/" TargetMode="External"/><Relationship Id="rId298" Type="http://schemas.openxmlformats.org/officeDocument/2006/relationships/hyperlink" Target="http://weareimmediate.com/" TargetMode="External"/><Relationship Id="rId198" Type="http://schemas.openxmlformats.org/officeDocument/2006/relationships/hyperlink" Target="https://www.thinkagency.com/" TargetMode="External"/><Relationship Id="rId197" Type="http://schemas.openxmlformats.org/officeDocument/2006/relationships/hyperlink" Target="http://tabithanaylor.com/" TargetMode="External"/><Relationship Id="rId196" Type="http://schemas.openxmlformats.org/officeDocument/2006/relationships/hyperlink" Target="http://enspirecreative.com/" TargetMode="External"/><Relationship Id="rId195" Type="http://schemas.openxmlformats.org/officeDocument/2006/relationships/hyperlink" Target="https://resolve.digital/" TargetMode="External"/><Relationship Id="rId199" Type="http://schemas.openxmlformats.org/officeDocument/2006/relationships/hyperlink" Target="http://c3medianetwork.com/" TargetMode="External"/><Relationship Id="rId150" Type="http://schemas.openxmlformats.org/officeDocument/2006/relationships/hyperlink" Target="https://brandcoders.com/" TargetMode="External"/><Relationship Id="rId271" Type="http://schemas.openxmlformats.org/officeDocument/2006/relationships/hyperlink" Target="http://freshysites.com/" TargetMode="External"/><Relationship Id="rId392" Type="http://schemas.openxmlformats.org/officeDocument/2006/relationships/hyperlink" Target="mailto:lukeinf86@gmail.com" TargetMode="External"/><Relationship Id="rId270" Type="http://schemas.openxmlformats.org/officeDocument/2006/relationships/hyperlink" Target="http://bilberrry.com/" TargetMode="External"/><Relationship Id="rId391" Type="http://schemas.openxmlformats.org/officeDocument/2006/relationships/hyperlink" Target="http://hip.agency/" TargetMode="External"/><Relationship Id="rId390" Type="http://schemas.openxmlformats.org/officeDocument/2006/relationships/hyperlink" Target="https://www.xeodev.com/" TargetMode="External"/><Relationship Id="rId1" Type="http://schemas.openxmlformats.org/officeDocument/2006/relationships/hyperlink" Target="https://thinkasa.com/" TargetMode="External"/><Relationship Id="rId2" Type="http://schemas.openxmlformats.org/officeDocument/2006/relationships/hyperlink" Target="http://maxburst.com" TargetMode="External"/><Relationship Id="rId3" Type="http://schemas.openxmlformats.org/officeDocument/2006/relationships/hyperlink" Target="http://bigdropinc.com" TargetMode="External"/><Relationship Id="rId149" Type="http://schemas.openxmlformats.org/officeDocument/2006/relationships/hyperlink" Target="mailto:hernan@abcw.global" TargetMode="External"/><Relationship Id="rId4" Type="http://schemas.openxmlformats.org/officeDocument/2006/relationships/hyperlink" Target="http://transfuture.com" TargetMode="External"/><Relationship Id="rId148" Type="http://schemas.openxmlformats.org/officeDocument/2006/relationships/hyperlink" Target="https://www.abcw.global/en/" TargetMode="External"/><Relationship Id="rId269" Type="http://schemas.openxmlformats.org/officeDocument/2006/relationships/hyperlink" Target="https://www.linkedin.com/in/blakejnolan/overlay/about-this-profile/" TargetMode="External"/><Relationship Id="rId9" Type="http://schemas.openxmlformats.org/officeDocument/2006/relationships/hyperlink" Target="https://dd.nyc/" TargetMode="External"/><Relationship Id="rId143" Type="http://schemas.openxmlformats.org/officeDocument/2006/relationships/hyperlink" Target="mailto:kantumanish@gmail.com" TargetMode="External"/><Relationship Id="rId264" Type="http://schemas.openxmlformats.org/officeDocument/2006/relationships/hyperlink" Target="http://greatjakes.com/" TargetMode="External"/><Relationship Id="rId385" Type="http://schemas.openxmlformats.org/officeDocument/2006/relationships/hyperlink" Target="http://www.zgraph.com/" TargetMode="External"/><Relationship Id="rId142" Type="http://schemas.openxmlformats.org/officeDocument/2006/relationships/hyperlink" Target="https://datson360.com/" TargetMode="External"/><Relationship Id="rId263" Type="http://schemas.openxmlformats.org/officeDocument/2006/relationships/hyperlink" Target="http://greyboxcreative.com/" TargetMode="External"/><Relationship Id="rId384" Type="http://schemas.openxmlformats.org/officeDocument/2006/relationships/hyperlink" Target="https://designocean.us/" TargetMode="External"/><Relationship Id="rId141" Type="http://schemas.openxmlformats.org/officeDocument/2006/relationships/hyperlink" Target="http://ogkcreative.com/" TargetMode="External"/><Relationship Id="rId262" Type="http://schemas.openxmlformats.org/officeDocument/2006/relationships/hyperlink" Target="http://xwp.co/" TargetMode="External"/><Relationship Id="rId383" Type="http://schemas.openxmlformats.org/officeDocument/2006/relationships/hyperlink" Target="http://www.561media.com/" TargetMode="External"/><Relationship Id="rId140" Type="http://schemas.openxmlformats.org/officeDocument/2006/relationships/hyperlink" Target="mailto:alacret@gmail.com" TargetMode="External"/><Relationship Id="rId261" Type="http://schemas.openxmlformats.org/officeDocument/2006/relationships/hyperlink" Target="http://phenomenonstudio.com/" TargetMode="External"/><Relationship Id="rId382" Type="http://schemas.openxmlformats.org/officeDocument/2006/relationships/hyperlink" Target="https://digitalneighbor.com/" TargetMode="External"/><Relationship Id="rId5" Type="http://schemas.openxmlformats.org/officeDocument/2006/relationships/hyperlink" Target="http://jhseoagency.com" TargetMode="External"/><Relationship Id="rId147" Type="http://schemas.openxmlformats.org/officeDocument/2006/relationships/hyperlink" Target="https://simplythebestdigital.com/" TargetMode="External"/><Relationship Id="rId268" Type="http://schemas.openxmlformats.org/officeDocument/2006/relationships/hyperlink" Target="http://stormbrain.com/" TargetMode="External"/><Relationship Id="rId389" Type="http://schemas.openxmlformats.org/officeDocument/2006/relationships/hyperlink" Target="https://varfaj.com/" TargetMode="External"/><Relationship Id="rId6" Type="http://schemas.openxmlformats.org/officeDocument/2006/relationships/hyperlink" Target="http://unifiedinfotech.net" TargetMode="External"/><Relationship Id="rId146" Type="http://schemas.openxmlformats.org/officeDocument/2006/relationships/hyperlink" Target="mailto:doug@r3mx.com" TargetMode="External"/><Relationship Id="rId267" Type="http://schemas.openxmlformats.org/officeDocument/2006/relationships/hyperlink" Target="http://espresslabs.com/" TargetMode="External"/><Relationship Id="rId388" Type="http://schemas.openxmlformats.org/officeDocument/2006/relationships/hyperlink" Target="https://clientexpander.com/" TargetMode="External"/><Relationship Id="rId7" Type="http://schemas.openxmlformats.org/officeDocument/2006/relationships/hyperlink" Target="http://zimblecode.com" TargetMode="External"/><Relationship Id="rId145" Type="http://schemas.openxmlformats.org/officeDocument/2006/relationships/hyperlink" Target="https://r3mx.com/" TargetMode="External"/><Relationship Id="rId266" Type="http://schemas.openxmlformats.org/officeDocument/2006/relationships/hyperlink" Target="http://jahnelgroup.com/" TargetMode="External"/><Relationship Id="rId387" Type="http://schemas.openxmlformats.org/officeDocument/2006/relationships/hyperlink" Target="http://www.market8.net/" TargetMode="External"/><Relationship Id="rId8" Type="http://schemas.openxmlformats.org/officeDocument/2006/relationships/hyperlink" Target="http://e9digital.com/" TargetMode="External"/><Relationship Id="rId144" Type="http://schemas.openxmlformats.org/officeDocument/2006/relationships/hyperlink" Target="https://levohealth.com/" TargetMode="External"/><Relationship Id="rId265" Type="http://schemas.openxmlformats.org/officeDocument/2006/relationships/hyperlink" Target="http://forcoda.com/" TargetMode="External"/><Relationship Id="rId386" Type="http://schemas.openxmlformats.org/officeDocument/2006/relationships/hyperlink" Target="mailto:billz@zgraph.com" TargetMode="External"/><Relationship Id="rId260" Type="http://schemas.openxmlformats.org/officeDocument/2006/relationships/hyperlink" Target="http://upqode.com/" TargetMode="External"/><Relationship Id="rId381" Type="http://schemas.openxmlformats.org/officeDocument/2006/relationships/hyperlink" Target="https://highmindedagency.com/" TargetMode="External"/><Relationship Id="rId380" Type="http://schemas.openxmlformats.org/officeDocument/2006/relationships/hyperlink" Target="https://studiotwo.com/" TargetMode="External"/><Relationship Id="rId139" Type="http://schemas.openxmlformats.org/officeDocument/2006/relationships/hyperlink" Target="https://www.cobuildlab.com/" TargetMode="External"/><Relationship Id="rId138" Type="http://schemas.openxmlformats.org/officeDocument/2006/relationships/hyperlink" Target="https://keylimeinteractive.com/" TargetMode="External"/><Relationship Id="rId259" Type="http://schemas.openxmlformats.org/officeDocument/2006/relationships/hyperlink" Target="https://www.linkedin.com/in/kuba-luty/overlay/about-this-profile/" TargetMode="External"/><Relationship Id="rId137" Type="http://schemas.openxmlformats.org/officeDocument/2006/relationships/hyperlink" Target="https://www.rdglobalinc.com/" TargetMode="External"/><Relationship Id="rId258" Type="http://schemas.openxmlformats.org/officeDocument/2006/relationships/hyperlink" Target="http://adchitects.co/" TargetMode="External"/><Relationship Id="rId379" Type="http://schemas.openxmlformats.org/officeDocument/2006/relationships/hyperlink" Target="http://pacific54.com" TargetMode="External"/><Relationship Id="rId132" Type="http://schemas.openxmlformats.org/officeDocument/2006/relationships/hyperlink" Target="https://www.appletoncreative.com/" TargetMode="External"/><Relationship Id="rId253" Type="http://schemas.openxmlformats.org/officeDocument/2006/relationships/hyperlink" Target="http://boldheart.io/" TargetMode="External"/><Relationship Id="rId374" Type="http://schemas.openxmlformats.org/officeDocument/2006/relationships/hyperlink" Target="http://www.rewardlion.com/" TargetMode="External"/><Relationship Id="rId131" Type="http://schemas.openxmlformats.org/officeDocument/2006/relationships/hyperlink" Target="https://www.ptp-llc.com/" TargetMode="External"/><Relationship Id="rId252" Type="http://schemas.openxmlformats.org/officeDocument/2006/relationships/hyperlink" Target="http://studiomade.co/" TargetMode="External"/><Relationship Id="rId373" Type="http://schemas.openxmlformats.org/officeDocument/2006/relationships/hyperlink" Target="mailto:dimitri@brandcoders.com" TargetMode="External"/><Relationship Id="rId130" Type="http://schemas.openxmlformats.org/officeDocument/2006/relationships/hyperlink" Target="https://damngood.agency/" TargetMode="External"/><Relationship Id="rId251" Type="http://schemas.openxmlformats.org/officeDocument/2006/relationships/hyperlink" Target="http://nyfulcrum.com/" TargetMode="External"/><Relationship Id="rId372" Type="http://schemas.openxmlformats.org/officeDocument/2006/relationships/hyperlink" Target="https://brandcoders.com/" TargetMode="External"/><Relationship Id="rId250" Type="http://schemas.openxmlformats.org/officeDocument/2006/relationships/hyperlink" Target="http://saritasa.com/" TargetMode="External"/><Relationship Id="rId371" Type="http://schemas.openxmlformats.org/officeDocument/2006/relationships/hyperlink" Target="mailto:hernan@abcw.global" TargetMode="External"/><Relationship Id="rId136" Type="http://schemas.openxmlformats.org/officeDocument/2006/relationships/hyperlink" Target="https://www.emaginehealth.com/" TargetMode="External"/><Relationship Id="rId257" Type="http://schemas.openxmlformats.org/officeDocument/2006/relationships/hyperlink" Target="https://www.linkedin.com/in/jason-l-weiner-4441b818/overlay/about-this-profile/" TargetMode="External"/><Relationship Id="rId378" Type="http://schemas.openxmlformats.org/officeDocument/2006/relationships/hyperlink" Target="mailto:valter.klug@gmail.com" TargetMode="External"/><Relationship Id="rId135" Type="http://schemas.openxmlformats.org/officeDocument/2006/relationships/hyperlink" Target="mailto:andigraham@gmail.com" TargetMode="External"/><Relationship Id="rId256" Type="http://schemas.openxmlformats.org/officeDocument/2006/relationships/hyperlink" Target="http://kitelytech.com/" TargetMode="External"/><Relationship Id="rId377" Type="http://schemas.openxmlformats.org/officeDocument/2006/relationships/hyperlink" Target="https://www.sambarock.us/" TargetMode="External"/><Relationship Id="rId134" Type="http://schemas.openxmlformats.org/officeDocument/2006/relationships/hyperlink" Target="https://bigsea.co/" TargetMode="External"/><Relationship Id="rId255" Type="http://schemas.openxmlformats.org/officeDocument/2006/relationships/hyperlink" Target="http://digiscorp.com/" TargetMode="External"/><Relationship Id="rId376" Type="http://schemas.openxmlformats.org/officeDocument/2006/relationships/hyperlink" Target="mailto:tyager@trendyminds.com" TargetMode="External"/><Relationship Id="rId133" Type="http://schemas.openxmlformats.org/officeDocument/2006/relationships/hyperlink" Target="https://www.designzillas.com/" TargetMode="External"/><Relationship Id="rId254" Type="http://schemas.openxmlformats.org/officeDocument/2006/relationships/hyperlink" Target="https://www.linkedin.com/in/fabiennefredrickson/overlay/about-this-profile/" TargetMode="External"/><Relationship Id="rId375" Type="http://schemas.openxmlformats.org/officeDocument/2006/relationships/hyperlink" Target="https://trendyminds.com/" TargetMode="External"/><Relationship Id="rId172" Type="http://schemas.openxmlformats.org/officeDocument/2006/relationships/hyperlink" Target="http://www.heydaymarketing.com/" TargetMode="External"/><Relationship Id="rId293" Type="http://schemas.openxmlformats.org/officeDocument/2006/relationships/hyperlink" Target="http://yellingmule.com/" TargetMode="External"/><Relationship Id="rId171" Type="http://schemas.openxmlformats.org/officeDocument/2006/relationships/hyperlink" Target="mailto:fernandoclemente@gmail.com" TargetMode="External"/><Relationship Id="rId292" Type="http://schemas.openxmlformats.org/officeDocument/2006/relationships/hyperlink" Target="http://3sidedcube.com/" TargetMode="External"/><Relationship Id="rId170" Type="http://schemas.openxmlformats.org/officeDocument/2006/relationships/hyperlink" Target="http://www.digitalmules.com/" TargetMode="External"/><Relationship Id="rId291" Type="http://schemas.openxmlformats.org/officeDocument/2006/relationships/hyperlink" Target="http://uinno.io/" TargetMode="External"/><Relationship Id="rId290" Type="http://schemas.openxmlformats.org/officeDocument/2006/relationships/hyperlink" Target="http://lform.com/" TargetMode="External"/><Relationship Id="rId165" Type="http://schemas.openxmlformats.org/officeDocument/2006/relationships/hyperlink" Target="https://clientexpander.com/" TargetMode="External"/><Relationship Id="rId286" Type="http://schemas.openxmlformats.org/officeDocument/2006/relationships/hyperlink" Target="http://neffknows.com/" TargetMode="External"/><Relationship Id="rId164" Type="http://schemas.openxmlformats.org/officeDocument/2006/relationships/hyperlink" Target="http://www.market8.net/" TargetMode="External"/><Relationship Id="rId285" Type="http://schemas.openxmlformats.org/officeDocument/2006/relationships/hyperlink" Target="http://drumncode.com/" TargetMode="External"/><Relationship Id="rId163" Type="http://schemas.openxmlformats.org/officeDocument/2006/relationships/hyperlink" Target="mailto:billz@zgraph.com" TargetMode="External"/><Relationship Id="rId284" Type="http://schemas.openxmlformats.org/officeDocument/2006/relationships/hyperlink" Target="http://thinkitfirst.com/" TargetMode="External"/><Relationship Id="rId162" Type="http://schemas.openxmlformats.org/officeDocument/2006/relationships/hyperlink" Target="http://www.zgraph.com/" TargetMode="External"/><Relationship Id="rId283" Type="http://schemas.openxmlformats.org/officeDocument/2006/relationships/hyperlink" Target="http://jetsoftpro.com/" TargetMode="External"/><Relationship Id="rId169" Type="http://schemas.openxmlformats.org/officeDocument/2006/relationships/hyperlink" Target="mailto:lukeinf86@gmail.com" TargetMode="External"/><Relationship Id="rId168" Type="http://schemas.openxmlformats.org/officeDocument/2006/relationships/hyperlink" Target="http://hip.agency/" TargetMode="External"/><Relationship Id="rId289" Type="http://schemas.openxmlformats.org/officeDocument/2006/relationships/hyperlink" Target="http://triare.net/" TargetMode="External"/><Relationship Id="rId167" Type="http://schemas.openxmlformats.org/officeDocument/2006/relationships/hyperlink" Target="https://www.xeodev.com/" TargetMode="External"/><Relationship Id="rId288" Type="http://schemas.openxmlformats.org/officeDocument/2006/relationships/hyperlink" Target="http://bitsorchestra.com/" TargetMode="External"/><Relationship Id="rId166" Type="http://schemas.openxmlformats.org/officeDocument/2006/relationships/hyperlink" Target="https://varfaj.com/" TargetMode="External"/><Relationship Id="rId287" Type="http://schemas.openxmlformats.org/officeDocument/2006/relationships/hyperlink" Target="http://sotechnology.ai/" TargetMode="External"/><Relationship Id="rId161" Type="http://schemas.openxmlformats.org/officeDocument/2006/relationships/hyperlink" Target="https://designocean.us/" TargetMode="External"/><Relationship Id="rId282" Type="http://schemas.openxmlformats.org/officeDocument/2006/relationships/hyperlink" Target="http://keganquimby.com/" TargetMode="External"/><Relationship Id="rId160" Type="http://schemas.openxmlformats.org/officeDocument/2006/relationships/hyperlink" Target="http://www.561media.com/" TargetMode="External"/><Relationship Id="rId281" Type="http://schemas.openxmlformats.org/officeDocument/2006/relationships/hyperlink" Target="http://onitdigital.com/" TargetMode="External"/><Relationship Id="rId280" Type="http://schemas.openxmlformats.org/officeDocument/2006/relationships/hyperlink" Target="http://modusdigital.com/" TargetMode="External"/><Relationship Id="rId159" Type="http://schemas.openxmlformats.org/officeDocument/2006/relationships/hyperlink" Target="https://digitalneighbor.com/" TargetMode="External"/><Relationship Id="rId154" Type="http://schemas.openxmlformats.org/officeDocument/2006/relationships/hyperlink" Target="mailto:tyager@trendyminds.com" TargetMode="External"/><Relationship Id="rId275" Type="http://schemas.openxmlformats.org/officeDocument/2006/relationships/hyperlink" Target="http://view-source.com/" TargetMode="External"/><Relationship Id="rId396" Type="http://schemas.openxmlformats.org/officeDocument/2006/relationships/hyperlink" Target="mailto:fernandoclemente@gmail.com" TargetMode="External"/><Relationship Id="rId153" Type="http://schemas.openxmlformats.org/officeDocument/2006/relationships/hyperlink" Target="https://trendyminds.com/" TargetMode="External"/><Relationship Id="rId274" Type="http://schemas.openxmlformats.org/officeDocument/2006/relationships/hyperlink" Target="https://www.linkedin.com/in/thomasabrahamhubspire/overlay/about-this-profile/" TargetMode="External"/><Relationship Id="rId395" Type="http://schemas.openxmlformats.org/officeDocument/2006/relationships/hyperlink" Target="http://www.digitalmules.com/" TargetMode="External"/><Relationship Id="rId152" Type="http://schemas.openxmlformats.org/officeDocument/2006/relationships/hyperlink" Target="http://www.rewardlion.com/" TargetMode="External"/><Relationship Id="rId273" Type="http://schemas.openxmlformats.org/officeDocument/2006/relationships/hyperlink" Target="http://hubspire.com/" TargetMode="External"/><Relationship Id="rId394" Type="http://schemas.openxmlformats.org/officeDocument/2006/relationships/hyperlink" Target="http://bmgcreative.com" TargetMode="External"/><Relationship Id="rId151" Type="http://schemas.openxmlformats.org/officeDocument/2006/relationships/hyperlink" Target="mailto:dimitri@brandcoders.com" TargetMode="External"/><Relationship Id="rId272" Type="http://schemas.openxmlformats.org/officeDocument/2006/relationships/hyperlink" Target="http://troyweb.com/" TargetMode="External"/><Relationship Id="rId393" Type="http://schemas.openxmlformats.org/officeDocument/2006/relationships/hyperlink" Target="http://cf-creative.com" TargetMode="External"/><Relationship Id="rId158" Type="http://schemas.openxmlformats.org/officeDocument/2006/relationships/hyperlink" Target="https://highmindedagency.com/" TargetMode="External"/><Relationship Id="rId279" Type="http://schemas.openxmlformats.org/officeDocument/2006/relationships/hyperlink" Target="https://www.linkedin.com/in/khawajazubair/overlay/about-this-profile/" TargetMode="External"/><Relationship Id="rId157" Type="http://schemas.openxmlformats.org/officeDocument/2006/relationships/hyperlink" Target="https://studiotwo.com/" TargetMode="External"/><Relationship Id="rId278" Type="http://schemas.openxmlformats.org/officeDocument/2006/relationships/hyperlink" Target="http://invowork.com/" TargetMode="External"/><Relationship Id="rId399" Type="http://schemas.openxmlformats.org/officeDocument/2006/relationships/hyperlink" Target="https://roarmedia.com/" TargetMode="External"/><Relationship Id="rId156" Type="http://schemas.openxmlformats.org/officeDocument/2006/relationships/hyperlink" Target="mailto:valter.klug@gmail.com" TargetMode="External"/><Relationship Id="rId277" Type="http://schemas.openxmlformats.org/officeDocument/2006/relationships/hyperlink" Target="http://noformat.com/" TargetMode="External"/><Relationship Id="rId398" Type="http://schemas.openxmlformats.org/officeDocument/2006/relationships/hyperlink" Target="https://redrocketstudios.com/" TargetMode="External"/><Relationship Id="rId155" Type="http://schemas.openxmlformats.org/officeDocument/2006/relationships/hyperlink" Target="https://www.sambarock.us/" TargetMode="External"/><Relationship Id="rId276" Type="http://schemas.openxmlformats.org/officeDocument/2006/relationships/hyperlink" Target="http://tanookilabs.com/" TargetMode="External"/><Relationship Id="rId397" Type="http://schemas.openxmlformats.org/officeDocument/2006/relationships/hyperlink" Target="http://www.heydaymarketing.com/" TargetMode="External"/><Relationship Id="rId40" Type="http://schemas.openxmlformats.org/officeDocument/2006/relationships/hyperlink" Target="http://boldheart.io" TargetMode="External"/><Relationship Id="rId42" Type="http://schemas.openxmlformats.org/officeDocument/2006/relationships/hyperlink" Target="http://digiscorp.com" TargetMode="External"/><Relationship Id="rId41" Type="http://schemas.openxmlformats.org/officeDocument/2006/relationships/hyperlink" Target="https://www.linkedin.com/in/fabiennefredrickson/overlay/about-this-profile/" TargetMode="External"/><Relationship Id="rId44" Type="http://schemas.openxmlformats.org/officeDocument/2006/relationships/hyperlink" Target="https://www.linkedin.com/in/jason-l-weiner-4441b818/overlay/about-this-profile/" TargetMode="External"/><Relationship Id="rId43" Type="http://schemas.openxmlformats.org/officeDocument/2006/relationships/hyperlink" Target="http://kitelytech.com" TargetMode="External"/><Relationship Id="rId46" Type="http://schemas.openxmlformats.org/officeDocument/2006/relationships/hyperlink" Target="https://www.linkedin.com/in/kuba-luty/overlay/about-this-profile/" TargetMode="External"/><Relationship Id="rId45" Type="http://schemas.openxmlformats.org/officeDocument/2006/relationships/hyperlink" Target="http://adchitects.co" TargetMode="External"/><Relationship Id="rId48" Type="http://schemas.openxmlformats.org/officeDocument/2006/relationships/hyperlink" Target="http://phenomenonstudio.com" TargetMode="External"/><Relationship Id="rId47" Type="http://schemas.openxmlformats.org/officeDocument/2006/relationships/hyperlink" Target="http://upqode.com" TargetMode="External"/><Relationship Id="rId49" Type="http://schemas.openxmlformats.org/officeDocument/2006/relationships/hyperlink" Target="http://xwp.co" TargetMode="External"/><Relationship Id="rId31" Type="http://schemas.openxmlformats.org/officeDocument/2006/relationships/hyperlink" Target="http://burstdgtl.com" TargetMode="External"/><Relationship Id="rId30" Type="http://schemas.openxmlformats.org/officeDocument/2006/relationships/hyperlink" Target="https://www.linkedin.com/in/steinbachr/overlay/about-this-profile/" TargetMode="External"/><Relationship Id="rId33" Type="http://schemas.openxmlformats.org/officeDocument/2006/relationships/hyperlink" Target="http://craftedny.com" TargetMode="External"/><Relationship Id="rId32" Type="http://schemas.openxmlformats.org/officeDocument/2006/relationships/hyperlink" Target="http://northstreetcreative.com" TargetMode="External"/><Relationship Id="rId35" Type="http://schemas.openxmlformats.org/officeDocument/2006/relationships/hyperlink" Target="http://plaudit.com" TargetMode="External"/><Relationship Id="rId34" Type="http://schemas.openxmlformats.org/officeDocument/2006/relationships/hyperlink" Target="http://newmedia.com" TargetMode="External"/><Relationship Id="rId37" Type="http://schemas.openxmlformats.org/officeDocument/2006/relationships/hyperlink" Target="http://saritasa.com" TargetMode="External"/><Relationship Id="rId36" Type="http://schemas.openxmlformats.org/officeDocument/2006/relationships/hyperlink" Target="http://fivejars.com" TargetMode="External"/><Relationship Id="rId39" Type="http://schemas.openxmlformats.org/officeDocument/2006/relationships/hyperlink" Target="http://studiomade.co" TargetMode="External"/><Relationship Id="rId38" Type="http://schemas.openxmlformats.org/officeDocument/2006/relationships/hyperlink" Target="http://nyfulcrum.com" TargetMode="External"/><Relationship Id="rId20" Type="http://schemas.openxmlformats.org/officeDocument/2006/relationships/hyperlink" Target="http://instinctools.com" TargetMode="External"/><Relationship Id="rId22" Type="http://schemas.openxmlformats.org/officeDocument/2006/relationships/hyperlink" Target="https://www.linkedin.com/in/kostyas/overlay/about-this-profile/" TargetMode="External"/><Relationship Id="rId21" Type="http://schemas.openxmlformats.org/officeDocument/2006/relationships/hyperlink" Target="http://shakuro.com" TargetMode="External"/><Relationship Id="rId24" Type="http://schemas.openxmlformats.org/officeDocument/2006/relationships/hyperlink" Target="https://www.linkedin.com/in/maciej-perlinski-7b75743/overlay/about-this-profile/" TargetMode="External"/><Relationship Id="rId23" Type="http://schemas.openxmlformats.org/officeDocument/2006/relationships/hyperlink" Target="http://meant4.com" TargetMode="External"/><Relationship Id="rId409" Type="http://schemas.openxmlformats.org/officeDocument/2006/relationships/hyperlink" Target="https://wearepathos.com/" TargetMode="External"/><Relationship Id="rId404" Type="http://schemas.openxmlformats.org/officeDocument/2006/relationships/hyperlink" Target="http://www.tegradesign.com/" TargetMode="External"/><Relationship Id="rId403" Type="http://schemas.openxmlformats.org/officeDocument/2006/relationships/hyperlink" Target="mailto:josh@bigmedium.com" TargetMode="External"/><Relationship Id="rId402" Type="http://schemas.openxmlformats.org/officeDocument/2006/relationships/hyperlink" Target="https://bigmedium.com/" TargetMode="External"/><Relationship Id="rId401" Type="http://schemas.openxmlformats.org/officeDocument/2006/relationships/hyperlink" Target="http://clearph.com" TargetMode="External"/><Relationship Id="rId408" Type="http://schemas.openxmlformats.org/officeDocument/2006/relationships/hyperlink" Target="https://www.sobefy.com/" TargetMode="External"/><Relationship Id="rId407" Type="http://schemas.openxmlformats.org/officeDocument/2006/relationships/hyperlink" Target="http://cmbr.co" TargetMode="External"/><Relationship Id="rId406" Type="http://schemas.openxmlformats.org/officeDocument/2006/relationships/hyperlink" Target="http://launchtitans.com/" TargetMode="External"/><Relationship Id="rId405" Type="http://schemas.openxmlformats.org/officeDocument/2006/relationships/hyperlink" Target="mailto:nazr.irfan@gmail.com" TargetMode="External"/><Relationship Id="rId26" Type="http://schemas.openxmlformats.org/officeDocument/2006/relationships/hyperlink" Target="http://buzzworthystudio.com" TargetMode="External"/><Relationship Id="rId25" Type="http://schemas.openxmlformats.org/officeDocument/2006/relationships/hyperlink" Target="http://door3.com" TargetMode="External"/><Relationship Id="rId28" Type="http://schemas.openxmlformats.org/officeDocument/2006/relationships/hyperlink" Target="http://jetrockets.com" TargetMode="External"/><Relationship Id="rId27" Type="http://schemas.openxmlformats.org/officeDocument/2006/relationships/hyperlink" Target="https://www.linkedin.com/in/daniel-haiem-ceo-b650b59a/overlay/about-this-profile/" TargetMode="External"/><Relationship Id="rId400" Type="http://schemas.openxmlformats.org/officeDocument/2006/relationships/hyperlink" Target="https://www.2ton.com/" TargetMode="External"/><Relationship Id="rId29" Type="http://schemas.openxmlformats.org/officeDocument/2006/relationships/hyperlink" Target="http://meanpug.com" TargetMode="External"/><Relationship Id="rId11" Type="http://schemas.openxmlformats.org/officeDocument/2006/relationships/hyperlink" Target="http://webteammanagement.com" TargetMode="External"/><Relationship Id="rId10" Type="http://schemas.openxmlformats.org/officeDocument/2006/relationships/hyperlink" Target="https://www.thenewyorkwebsitedesigner.com/" TargetMode="External"/><Relationship Id="rId13" Type="http://schemas.openxmlformats.org/officeDocument/2006/relationships/hyperlink" Target="http://serokell.io" TargetMode="External"/><Relationship Id="rId12" Type="http://schemas.openxmlformats.org/officeDocument/2006/relationships/hyperlink" Target="http://247nywebdesign.com" TargetMode="External"/><Relationship Id="rId15" Type="http://schemas.openxmlformats.org/officeDocument/2006/relationships/hyperlink" Target="http://griffonwebstudios.com/" TargetMode="External"/><Relationship Id="rId14" Type="http://schemas.openxmlformats.org/officeDocument/2006/relationships/hyperlink" Target="http://heislersolutions.com" TargetMode="External"/><Relationship Id="rId17" Type="http://schemas.openxmlformats.org/officeDocument/2006/relationships/hyperlink" Target="http://jcraftstudios.com" TargetMode="External"/><Relationship Id="rId16" Type="http://schemas.openxmlformats.org/officeDocument/2006/relationships/hyperlink" Target="http://virtusa.com" TargetMode="External"/><Relationship Id="rId19" Type="http://schemas.openxmlformats.org/officeDocument/2006/relationships/hyperlink" Target="https://www.linkedin.com/in/mikhail-baleika/overlay/about-this-profile/?lipi=urn%3Ali%3Apage%3Ad_flagship3_profile_view_base%3BV%2FfFr2dJSuCVbJjnCgJdUg%3D%3D" TargetMode="External"/><Relationship Id="rId18" Type="http://schemas.openxmlformats.org/officeDocument/2006/relationships/hyperlink" Target="http://sigli.com" TargetMode="External"/><Relationship Id="rId84" Type="http://schemas.openxmlformats.org/officeDocument/2006/relationships/hyperlink" Target="http://wakefly.com" TargetMode="External"/><Relationship Id="rId83" Type="http://schemas.openxmlformats.org/officeDocument/2006/relationships/hyperlink" Target="http://nix-united.com" TargetMode="External"/><Relationship Id="rId86" Type="http://schemas.openxmlformats.org/officeDocument/2006/relationships/hyperlink" Target="http://vairix.com" TargetMode="External"/><Relationship Id="rId85" Type="http://schemas.openxmlformats.org/officeDocument/2006/relationships/hyperlink" Target="http://weareimmediate.com" TargetMode="External"/><Relationship Id="rId88" Type="http://schemas.openxmlformats.org/officeDocument/2006/relationships/hyperlink" Target="http://traktekpartners.com" TargetMode="External"/><Relationship Id="rId87" Type="http://schemas.openxmlformats.org/officeDocument/2006/relationships/hyperlink" Target="http://gofishdigital.com" TargetMode="External"/><Relationship Id="rId89" Type="http://schemas.openxmlformats.org/officeDocument/2006/relationships/hyperlink" Target="http://semrush.com" TargetMode="External"/><Relationship Id="rId80" Type="http://schemas.openxmlformats.org/officeDocument/2006/relationships/hyperlink" Target="http://yellingmule.com" TargetMode="External"/><Relationship Id="rId82" Type="http://schemas.openxmlformats.org/officeDocument/2006/relationships/hyperlink" Target="http://temperandforge.com" TargetMode="External"/><Relationship Id="rId81" Type="http://schemas.openxmlformats.org/officeDocument/2006/relationships/hyperlink" Target="http://sumatosoft.com" TargetMode="External"/><Relationship Id="rId73" Type="http://schemas.openxmlformats.org/officeDocument/2006/relationships/hyperlink" Target="http://neffknows.com" TargetMode="External"/><Relationship Id="rId72" Type="http://schemas.openxmlformats.org/officeDocument/2006/relationships/hyperlink" Target="http://drumncode.com" TargetMode="External"/><Relationship Id="rId75" Type="http://schemas.openxmlformats.org/officeDocument/2006/relationships/hyperlink" Target="http://bitsorchestra.com" TargetMode="External"/><Relationship Id="rId74" Type="http://schemas.openxmlformats.org/officeDocument/2006/relationships/hyperlink" Target="http://sotechnology.ai" TargetMode="External"/><Relationship Id="rId77" Type="http://schemas.openxmlformats.org/officeDocument/2006/relationships/hyperlink" Target="http://lform.com" TargetMode="External"/><Relationship Id="rId76" Type="http://schemas.openxmlformats.org/officeDocument/2006/relationships/hyperlink" Target="http://triare.net" TargetMode="External"/><Relationship Id="rId79" Type="http://schemas.openxmlformats.org/officeDocument/2006/relationships/hyperlink" Target="http://3sidedcube.com" TargetMode="External"/><Relationship Id="rId78" Type="http://schemas.openxmlformats.org/officeDocument/2006/relationships/hyperlink" Target="http://uinno.io" TargetMode="External"/><Relationship Id="rId71" Type="http://schemas.openxmlformats.org/officeDocument/2006/relationships/hyperlink" Target="http://thinkitfirst.com" TargetMode="External"/><Relationship Id="rId70" Type="http://schemas.openxmlformats.org/officeDocument/2006/relationships/hyperlink" Target="http://jetsoftpro.com" TargetMode="External"/><Relationship Id="rId62" Type="http://schemas.openxmlformats.org/officeDocument/2006/relationships/hyperlink" Target="http://view-source.com" TargetMode="External"/><Relationship Id="rId61" Type="http://schemas.openxmlformats.org/officeDocument/2006/relationships/hyperlink" Target="https://www.linkedin.com/in/thomasabrahamhubspire/overlay/about-this-profile/" TargetMode="External"/><Relationship Id="rId64" Type="http://schemas.openxmlformats.org/officeDocument/2006/relationships/hyperlink" Target="http://noformat.com" TargetMode="External"/><Relationship Id="rId63" Type="http://schemas.openxmlformats.org/officeDocument/2006/relationships/hyperlink" Target="http://tanookilabs.com" TargetMode="External"/><Relationship Id="rId66" Type="http://schemas.openxmlformats.org/officeDocument/2006/relationships/hyperlink" Target="https://www.linkedin.com/in/khawajazubair/overlay/about-this-profile/" TargetMode="External"/><Relationship Id="rId65" Type="http://schemas.openxmlformats.org/officeDocument/2006/relationships/hyperlink" Target="http://invowork.com" TargetMode="External"/><Relationship Id="rId68" Type="http://schemas.openxmlformats.org/officeDocument/2006/relationships/hyperlink" Target="http://onitdigital.com" TargetMode="External"/><Relationship Id="rId67" Type="http://schemas.openxmlformats.org/officeDocument/2006/relationships/hyperlink" Target="http://modusdigital.com" TargetMode="External"/><Relationship Id="rId60" Type="http://schemas.openxmlformats.org/officeDocument/2006/relationships/hyperlink" Target="http://hubspire.com" TargetMode="External"/><Relationship Id="rId69" Type="http://schemas.openxmlformats.org/officeDocument/2006/relationships/hyperlink" Target="http://keganquimby.com" TargetMode="External"/><Relationship Id="rId51" Type="http://schemas.openxmlformats.org/officeDocument/2006/relationships/hyperlink" Target="http://greatjakes.com" TargetMode="External"/><Relationship Id="rId50" Type="http://schemas.openxmlformats.org/officeDocument/2006/relationships/hyperlink" Target="http://greyboxcreative.com" TargetMode="External"/><Relationship Id="rId53" Type="http://schemas.openxmlformats.org/officeDocument/2006/relationships/hyperlink" Target="http://jahnelgroup.com" TargetMode="External"/><Relationship Id="rId52" Type="http://schemas.openxmlformats.org/officeDocument/2006/relationships/hyperlink" Target="http://forcoda.com" TargetMode="External"/><Relationship Id="rId55" Type="http://schemas.openxmlformats.org/officeDocument/2006/relationships/hyperlink" Target="http://stormbrain.com" TargetMode="External"/><Relationship Id="rId54" Type="http://schemas.openxmlformats.org/officeDocument/2006/relationships/hyperlink" Target="http://espresslabs.com" TargetMode="External"/><Relationship Id="rId57" Type="http://schemas.openxmlformats.org/officeDocument/2006/relationships/hyperlink" Target="http://bilberrry.com" TargetMode="External"/><Relationship Id="rId56" Type="http://schemas.openxmlformats.org/officeDocument/2006/relationships/hyperlink" Target="https://www.linkedin.com/in/blakejnolan/overlay/about-this-profile/" TargetMode="External"/><Relationship Id="rId59" Type="http://schemas.openxmlformats.org/officeDocument/2006/relationships/hyperlink" Target="http://troyweb.com" TargetMode="External"/><Relationship Id="rId58" Type="http://schemas.openxmlformats.org/officeDocument/2006/relationships/hyperlink" Target="http://freshysites.com" TargetMode="External"/><Relationship Id="rId107" Type="http://schemas.openxmlformats.org/officeDocument/2006/relationships/hyperlink" Target="https://webstudioflorida.com/" TargetMode="External"/><Relationship Id="rId228" Type="http://schemas.openxmlformats.org/officeDocument/2006/relationships/hyperlink" Target="http://griffonwebstudios.com/" TargetMode="External"/><Relationship Id="rId349" Type="http://schemas.openxmlformats.org/officeDocument/2006/relationships/hyperlink" Target="mailto:patricia@chief.com" TargetMode="External"/><Relationship Id="rId106" Type="http://schemas.openxmlformats.org/officeDocument/2006/relationships/hyperlink" Target="mailto:gary@webdaytona.com" TargetMode="External"/><Relationship Id="rId227" Type="http://schemas.openxmlformats.org/officeDocument/2006/relationships/hyperlink" Target="http://heislersolutions.com/" TargetMode="External"/><Relationship Id="rId348" Type="http://schemas.openxmlformats.org/officeDocument/2006/relationships/hyperlink" Target="http://velocitas.com" TargetMode="External"/><Relationship Id="rId105" Type="http://schemas.openxmlformats.org/officeDocument/2006/relationships/hyperlink" Target="https://www.webdaytona.com/" TargetMode="External"/><Relationship Id="rId226" Type="http://schemas.openxmlformats.org/officeDocument/2006/relationships/hyperlink" Target="http://serokell.io/" TargetMode="External"/><Relationship Id="rId347" Type="http://schemas.openxmlformats.org/officeDocument/2006/relationships/hyperlink" Target="https://intrepy.com/" TargetMode="External"/><Relationship Id="rId104" Type="http://schemas.openxmlformats.org/officeDocument/2006/relationships/hyperlink" Target="http://waydigit.com" TargetMode="External"/><Relationship Id="rId225" Type="http://schemas.openxmlformats.org/officeDocument/2006/relationships/hyperlink" Target="http://247nywebdesign.com/" TargetMode="External"/><Relationship Id="rId346" Type="http://schemas.openxmlformats.org/officeDocument/2006/relationships/hyperlink" Target="http://bigbinary.com/" TargetMode="External"/><Relationship Id="rId109" Type="http://schemas.openxmlformats.org/officeDocument/2006/relationships/hyperlink" Target="https://websdm.us/" TargetMode="External"/><Relationship Id="rId108" Type="http://schemas.openxmlformats.org/officeDocument/2006/relationships/hyperlink" Target="mailto:himala@webstudioflorida.com" TargetMode="External"/><Relationship Id="rId229" Type="http://schemas.openxmlformats.org/officeDocument/2006/relationships/hyperlink" Target="http://virtusa.com/" TargetMode="External"/><Relationship Id="rId220" Type="http://schemas.openxmlformats.org/officeDocument/2006/relationships/hyperlink" Target="http://zimblecode.com/" TargetMode="External"/><Relationship Id="rId341" Type="http://schemas.openxmlformats.org/officeDocument/2006/relationships/hyperlink" Target="https://www.marketmymarket.com/" TargetMode="External"/><Relationship Id="rId340" Type="http://schemas.openxmlformats.org/officeDocument/2006/relationships/hyperlink" Target="https://thatagency.com/" TargetMode="External"/><Relationship Id="rId103" Type="http://schemas.openxmlformats.org/officeDocument/2006/relationships/hyperlink" Target="http://insegment.com" TargetMode="External"/><Relationship Id="rId224" Type="http://schemas.openxmlformats.org/officeDocument/2006/relationships/hyperlink" Target="http://webteammanagement.com/" TargetMode="External"/><Relationship Id="rId345" Type="http://schemas.openxmlformats.org/officeDocument/2006/relationships/hyperlink" Target="https://ghagency.com/" TargetMode="External"/><Relationship Id="rId102" Type="http://schemas.openxmlformats.org/officeDocument/2006/relationships/hyperlink" Target="http://prbyac.com" TargetMode="External"/><Relationship Id="rId223" Type="http://schemas.openxmlformats.org/officeDocument/2006/relationships/hyperlink" Target="https://www.thenewyorkwebsitedesigner.com/" TargetMode="External"/><Relationship Id="rId344" Type="http://schemas.openxmlformats.org/officeDocument/2006/relationships/hyperlink" Target="https://www.yourdigitalresource.com/" TargetMode="External"/><Relationship Id="rId101" Type="http://schemas.openxmlformats.org/officeDocument/2006/relationships/hyperlink" Target="http://rightpoint.com" TargetMode="External"/><Relationship Id="rId222" Type="http://schemas.openxmlformats.org/officeDocument/2006/relationships/hyperlink" Target="https://dd.nyc/" TargetMode="External"/><Relationship Id="rId343" Type="http://schemas.openxmlformats.org/officeDocument/2006/relationships/hyperlink" Target="http://www.321theagency.com" TargetMode="External"/><Relationship Id="rId100" Type="http://schemas.openxmlformats.org/officeDocument/2006/relationships/hyperlink" Target="http://zagaran.com" TargetMode="External"/><Relationship Id="rId221" Type="http://schemas.openxmlformats.org/officeDocument/2006/relationships/hyperlink" Target="http://e9digital.com/" TargetMode="External"/><Relationship Id="rId342" Type="http://schemas.openxmlformats.org/officeDocument/2006/relationships/hyperlink" Target="https://tavanoteam.com/" TargetMode="External"/><Relationship Id="rId217" Type="http://schemas.openxmlformats.org/officeDocument/2006/relationships/hyperlink" Target="http://transfuture.com/" TargetMode="External"/><Relationship Id="rId338" Type="http://schemas.openxmlformats.org/officeDocument/2006/relationships/hyperlink" Target="mailto:david@streamcompanies.com" TargetMode="External"/><Relationship Id="rId216" Type="http://schemas.openxmlformats.org/officeDocument/2006/relationships/hyperlink" Target="http://bigdropinc.com/" TargetMode="External"/><Relationship Id="rId337" Type="http://schemas.openxmlformats.org/officeDocument/2006/relationships/hyperlink" Target="http://streamcompanies.com" TargetMode="External"/><Relationship Id="rId215" Type="http://schemas.openxmlformats.org/officeDocument/2006/relationships/hyperlink" Target="http://maxburst.com/" TargetMode="External"/><Relationship Id="rId336" Type="http://schemas.openxmlformats.org/officeDocument/2006/relationships/hyperlink" Target="http://conceptatech.com" TargetMode="External"/><Relationship Id="rId214" Type="http://schemas.openxmlformats.org/officeDocument/2006/relationships/hyperlink" Target="https://thinkasa.com/" TargetMode="External"/><Relationship Id="rId335" Type="http://schemas.openxmlformats.org/officeDocument/2006/relationships/hyperlink" Target="https://webpropeller.com/" TargetMode="External"/><Relationship Id="rId219" Type="http://schemas.openxmlformats.org/officeDocument/2006/relationships/hyperlink" Target="http://unifiedinfotech.net/" TargetMode="External"/><Relationship Id="rId218" Type="http://schemas.openxmlformats.org/officeDocument/2006/relationships/hyperlink" Target="http://jhseoagency.com/" TargetMode="External"/><Relationship Id="rId339" Type="http://schemas.openxmlformats.org/officeDocument/2006/relationships/hyperlink" Target="http://outsmartlabs.com" TargetMode="External"/><Relationship Id="rId330" Type="http://schemas.openxmlformats.org/officeDocument/2006/relationships/hyperlink" Target="https://flawebdesign.us/" TargetMode="External"/><Relationship Id="rId213" Type="http://schemas.openxmlformats.org/officeDocument/2006/relationships/hyperlink" Target="mailto:coreyg@gmail.com" TargetMode="External"/><Relationship Id="rId334" Type="http://schemas.openxmlformats.org/officeDocument/2006/relationships/hyperlink" Target="https://webmiami.com/" TargetMode="External"/><Relationship Id="rId212" Type="http://schemas.openxmlformats.org/officeDocument/2006/relationships/hyperlink" Target="https://3sigmadigital.com/" TargetMode="External"/><Relationship Id="rId333" Type="http://schemas.openxmlformats.org/officeDocument/2006/relationships/hyperlink" Target="mailto:MHARTWELL.DD@GMAIL.COM" TargetMode="External"/><Relationship Id="rId211" Type="http://schemas.openxmlformats.org/officeDocument/2006/relationships/hyperlink" Target="mailto:frankirias@gmail.com" TargetMode="External"/><Relationship Id="rId332" Type="http://schemas.openxmlformats.org/officeDocument/2006/relationships/hyperlink" Target="https://oviedowebdesign.com/" TargetMode="External"/><Relationship Id="rId210" Type="http://schemas.openxmlformats.org/officeDocument/2006/relationships/hyperlink" Target="http://www.daishocreative.com/" TargetMode="External"/><Relationship Id="rId331" Type="http://schemas.openxmlformats.org/officeDocument/2006/relationships/hyperlink" Target="mailto:kalasrocoo@yahoo.com" TargetMode="External"/><Relationship Id="rId370" Type="http://schemas.openxmlformats.org/officeDocument/2006/relationships/hyperlink" Target="https://www.abcw.global/en/" TargetMode="External"/><Relationship Id="rId129" Type="http://schemas.openxmlformats.org/officeDocument/2006/relationships/hyperlink" Target="mailto:patricia@chief.com" TargetMode="External"/><Relationship Id="rId128" Type="http://schemas.openxmlformats.org/officeDocument/2006/relationships/hyperlink" Target="https://intrepy.com/" TargetMode="External"/><Relationship Id="rId249" Type="http://schemas.openxmlformats.org/officeDocument/2006/relationships/hyperlink" Target="http://fivejars.com/" TargetMode="External"/><Relationship Id="rId127" Type="http://schemas.openxmlformats.org/officeDocument/2006/relationships/hyperlink" Target="http://bigbinary.com/" TargetMode="External"/><Relationship Id="rId248" Type="http://schemas.openxmlformats.org/officeDocument/2006/relationships/hyperlink" Target="http://plaudit.com/" TargetMode="External"/><Relationship Id="rId369" Type="http://schemas.openxmlformats.org/officeDocument/2006/relationships/hyperlink" Target="https://simplythebestdigital.com/" TargetMode="External"/><Relationship Id="rId126" Type="http://schemas.openxmlformats.org/officeDocument/2006/relationships/hyperlink" Target="https://ghagency.com/" TargetMode="External"/><Relationship Id="rId247" Type="http://schemas.openxmlformats.org/officeDocument/2006/relationships/hyperlink" Target="http://newmedia.com/" TargetMode="External"/><Relationship Id="rId368" Type="http://schemas.openxmlformats.org/officeDocument/2006/relationships/hyperlink" Target="http://curiousjane.com" TargetMode="External"/><Relationship Id="rId121" Type="http://schemas.openxmlformats.org/officeDocument/2006/relationships/hyperlink" Target="mailto:david@streamcompanies.com" TargetMode="External"/><Relationship Id="rId242" Type="http://schemas.openxmlformats.org/officeDocument/2006/relationships/hyperlink" Target="http://meanpug.com/" TargetMode="External"/><Relationship Id="rId363" Type="http://schemas.openxmlformats.org/officeDocument/2006/relationships/hyperlink" Target="mailto:kantumanish@gmail.com" TargetMode="External"/><Relationship Id="rId120" Type="http://schemas.openxmlformats.org/officeDocument/2006/relationships/hyperlink" Target="https://webpropeller.com/" TargetMode="External"/><Relationship Id="rId241" Type="http://schemas.openxmlformats.org/officeDocument/2006/relationships/hyperlink" Target="http://jetrockets.com/" TargetMode="External"/><Relationship Id="rId362" Type="http://schemas.openxmlformats.org/officeDocument/2006/relationships/hyperlink" Target="https://datson360.com/" TargetMode="External"/><Relationship Id="rId240" Type="http://schemas.openxmlformats.org/officeDocument/2006/relationships/hyperlink" Target="https://www.linkedin.com/in/daniel-haiem-ceo-b650b59a/overlay/about-this-profile/" TargetMode="External"/><Relationship Id="rId361" Type="http://schemas.openxmlformats.org/officeDocument/2006/relationships/hyperlink" Target="http://ogkcreative.com/" TargetMode="External"/><Relationship Id="rId360" Type="http://schemas.openxmlformats.org/officeDocument/2006/relationships/hyperlink" Target="mailto:alacret@gmail.com" TargetMode="External"/><Relationship Id="rId125" Type="http://schemas.openxmlformats.org/officeDocument/2006/relationships/hyperlink" Target="https://www.yourdigitalresource.com/" TargetMode="External"/><Relationship Id="rId246" Type="http://schemas.openxmlformats.org/officeDocument/2006/relationships/hyperlink" Target="http://craftedny.com/" TargetMode="External"/><Relationship Id="rId367" Type="http://schemas.openxmlformats.org/officeDocument/2006/relationships/hyperlink" Target="http://rep-ink.com" TargetMode="External"/><Relationship Id="rId124" Type="http://schemas.openxmlformats.org/officeDocument/2006/relationships/hyperlink" Target="https://tavanoteam.com/" TargetMode="External"/><Relationship Id="rId245" Type="http://schemas.openxmlformats.org/officeDocument/2006/relationships/hyperlink" Target="http://northstreetcreative.com/" TargetMode="External"/><Relationship Id="rId366" Type="http://schemas.openxmlformats.org/officeDocument/2006/relationships/hyperlink" Target="mailto:doug@r3mx.com" TargetMode="External"/><Relationship Id="rId123" Type="http://schemas.openxmlformats.org/officeDocument/2006/relationships/hyperlink" Target="https://www.marketmymarket.com/" TargetMode="External"/><Relationship Id="rId244" Type="http://schemas.openxmlformats.org/officeDocument/2006/relationships/hyperlink" Target="http://burstdgtl.com/" TargetMode="External"/><Relationship Id="rId365" Type="http://schemas.openxmlformats.org/officeDocument/2006/relationships/hyperlink" Target="https://r3mx.com/" TargetMode="External"/><Relationship Id="rId122" Type="http://schemas.openxmlformats.org/officeDocument/2006/relationships/hyperlink" Target="https://thatagency.com/" TargetMode="External"/><Relationship Id="rId243" Type="http://schemas.openxmlformats.org/officeDocument/2006/relationships/hyperlink" Target="https://www.linkedin.com/in/steinbachr/overlay/about-this-profile/" TargetMode="External"/><Relationship Id="rId364" Type="http://schemas.openxmlformats.org/officeDocument/2006/relationships/hyperlink" Target="https://levohealth.com/" TargetMode="External"/><Relationship Id="rId95" Type="http://schemas.openxmlformats.org/officeDocument/2006/relationships/hyperlink" Target="http://knectar.com" TargetMode="External"/><Relationship Id="rId94" Type="http://schemas.openxmlformats.org/officeDocument/2006/relationships/hyperlink" Target="http://zerodegreesinc.com" TargetMode="External"/><Relationship Id="rId97" Type="http://schemas.openxmlformats.org/officeDocument/2006/relationships/hyperlink" Target="http://opusdesign.us" TargetMode="External"/><Relationship Id="rId96" Type="http://schemas.openxmlformats.org/officeDocument/2006/relationships/hyperlink" Target="http://nextideatech.com" TargetMode="External"/><Relationship Id="rId99" Type="http://schemas.openxmlformats.org/officeDocument/2006/relationships/hyperlink" Target="http://whatarmy.com" TargetMode="External"/><Relationship Id="rId98" Type="http://schemas.openxmlformats.org/officeDocument/2006/relationships/hyperlink" Target="http://goinvo.com" TargetMode="External"/><Relationship Id="rId91" Type="http://schemas.openxmlformats.org/officeDocument/2006/relationships/hyperlink" Target="http://mightyunionagency.com" TargetMode="External"/><Relationship Id="rId90" Type="http://schemas.openxmlformats.org/officeDocument/2006/relationships/hyperlink" Target="https://www.linkedin.com/in/oleg-shchegolev/overlay/about-this-profile/" TargetMode="External"/><Relationship Id="rId93" Type="http://schemas.openxmlformats.org/officeDocument/2006/relationships/hyperlink" Target="http://fullcortex.com" TargetMode="External"/><Relationship Id="rId92" Type="http://schemas.openxmlformats.org/officeDocument/2006/relationships/hyperlink" Target="http://serpcom.com" TargetMode="External"/><Relationship Id="rId118" Type="http://schemas.openxmlformats.org/officeDocument/2006/relationships/hyperlink" Target="mailto:MHARTWELL.DD@GMAIL.COM" TargetMode="External"/><Relationship Id="rId239" Type="http://schemas.openxmlformats.org/officeDocument/2006/relationships/hyperlink" Target="http://buzzworthystudio.com/" TargetMode="External"/><Relationship Id="rId117" Type="http://schemas.openxmlformats.org/officeDocument/2006/relationships/hyperlink" Target="https://oviedowebdesign.com/" TargetMode="External"/><Relationship Id="rId238" Type="http://schemas.openxmlformats.org/officeDocument/2006/relationships/hyperlink" Target="http://door3.com/" TargetMode="External"/><Relationship Id="rId359" Type="http://schemas.openxmlformats.org/officeDocument/2006/relationships/hyperlink" Target="https://www.cobuildlab.com/" TargetMode="External"/><Relationship Id="rId116" Type="http://schemas.openxmlformats.org/officeDocument/2006/relationships/hyperlink" Target="mailto:kalasrocoo@yahoo.com" TargetMode="External"/><Relationship Id="rId237" Type="http://schemas.openxmlformats.org/officeDocument/2006/relationships/hyperlink" Target="https://www.linkedin.com/in/maciej-perlinski-7b75743/overlay/about-this-profile/" TargetMode="External"/><Relationship Id="rId358" Type="http://schemas.openxmlformats.org/officeDocument/2006/relationships/hyperlink" Target="https://keylimeinteractive.com/" TargetMode="External"/><Relationship Id="rId115" Type="http://schemas.openxmlformats.org/officeDocument/2006/relationships/hyperlink" Target="https://flawebdesign.us/" TargetMode="External"/><Relationship Id="rId236" Type="http://schemas.openxmlformats.org/officeDocument/2006/relationships/hyperlink" Target="http://meant4.com/" TargetMode="External"/><Relationship Id="rId357" Type="http://schemas.openxmlformats.org/officeDocument/2006/relationships/hyperlink" Target="https://www.rdglobalinc.com/" TargetMode="External"/><Relationship Id="rId119" Type="http://schemas.openxmlformats.org/officeDocument/2006/relationships/hyperlink" Target="https://webmiami.com/" TargetMode="External"/><Relationship Id="rId110" Type="http://schemas.openxmlformats.org/officeDocument/2006/relationships/hyperlink" Target="mailto:dm@websdm.us" TargetMode="External"/><Relationship Id="rId231" Type="http://schemas.openxmlformats.org/officeDocument/2006/relationships/hyperlink" Target="http://sigli.com/" TargetMode="External"/><Relationship Id="rId352" Type="http://schemas.openxmlformats.org/officeDocument/2006/relationships/hyperlink" Target="https://www.appletoncreative.com/" TargetMode="External"/><Relationship Id="rId230" Type="http://schemas.openxmlformats.org/officeDocument/2006/relationships/hyperlink" Target="http://jcraftstudios.com/" TargetMode="External"/><Relationship Id="rId351" Type="http://schemas.openxmlformats.org/officeDocument/2006/relationships/hyperlink" Target="https://www.ptp-llc.com/" TargetMode="External"/><Relationship Id="rId350" Type="http://schemas.openxmlformats.org/officeDocument/2006/relationships/hyperlink" Target="https://damngood.agency/" TargetMode="External"/><Relationship Id="rId114" Type="http://schemas.openxmlformats.org/officeDocument/2006/relationships/hyperlink" Target="mailto:daddydesign@gmail.com" TargetMode="External"/><Relationship Id="rId235" Type="http://schemas.openxmlformats.org/officeDocument/2006/relationships/hyperlink" Target="https://www.linkedin.com/in/kostyas/overlay/about-this-profile/" TargetMode="External"/><Relationship Id="rId356" Type="http://schemas.openxmlformats.org/officeDocument/2006/relationships/hyperlink" Target="https://www.emaginehealth.com/" TargetMode="External"/><Relationship Id="rId113" Type="http://schemas.openxmlformats.org/officeDocument/2006/relationships/hyperlink" Target="https://ajroni.com/" TargetMode="External"/><Relationship Id="rId234" Type="http://schemas.openxmlformats.org/officeDocument/2006/relationships/hyperlink" Target="http://shakuro.com/" TargetMode="External"/><Relationship Id="rId355" Type="http://schemas.openxmlformats.org/officeDocument/2006/relationships/hyperlink" Target="mailto:andigraham@gmail.com" TargetMode="External"/><Relationship Id="rId112" Type="http://schemas.openxmlformats.org/officeDocument/2006/relationships/hyperlink" Target="mailto:benedict@zgraph.com" TargetMode="External"/><Relationship Id="rId233" Type="http://schemas.openxmlformats.org/officeDocument/2006/relationships/hyperlink" Target="http://instinctools.com/" TargetMode="External"/><Relationship Id="rId354" Type="http://schemas.openxmlformats.org/officeDocument/2006/relationships/hyperlink" Target="https://bigsea.co/" TargetMode="External"/><Relationship Id="rId111" Type="http://schemas.openxmlformats.org/officeDocument/2006/relationships/hyperlink" Target="mailto:contact@washeen.com" TargetMode="External"/><Relationship Id="rId232" Type="http://schemas.openxmlformats.org/officeDocument/2006/relationships/hyperlink" Target="https://www.linkedin.com/in/mikhail-baleika/overlay/about-this-profile/?lipi=urn%3Ali%3Apage%3Ad_flagship3_profile_view_base%3BV%2FfFr2dJSuCVbJjnCgJdUg%3D%3D" TargetMode="External"/><Relationship Id="rId353" Type="http://schemas.openxmlformats.org/officeDocument/2006/relationships/hyperlink" Target="https://www.designzillas.com/" TargetMode="External"/><Relationship Id="rId305" Type="http://schemas.openxmlformats.org/officeDocument/2006/relationships/hyperlink" Target="http://serpcom.com/" TargetMode="External"/><Relationship Id="rId426" Type="http://schemas.openxmlformats.org/officeDocument/2006/relationships/hyperlink" Target="https://www.thinkagency.com/" TargetMode="External"/><Relationship Id="rId304" Type="http://schemas.openxmlformats.org/officeDocument/2006/relationships/hyperlink" Target="http://mightyunionagency.com/" TargetMode="External"/><Relationship Id="rId425" Type="http://schemas.openxmlformats.org/officeDocument/2006/relationships/hyperlink" Target="http://tabithanaylor.com/" TargetMode="External"/><Relationship Id="rId303" Type="http://schemas.openxmlformats.org/officeDocument/2006/relationships/hyperlink" Target="https://www.linkedin.com/in/oleg-shchegolev/overlay/about-this-profile/" TargetMode="External"/><Relationship Id="rId424" Type="http://schemas.openxmlformats.org/officeDocument/2006/relationships/hyperlink" Target="http://tabithanaylor.com" TargetMode="External"/><Relationship Id="rId302" Type="http://schemas.openxmlformats.org/officeDocument/2006/relationships/hyperlink" Target="http://semrush.com/" TargetMode="External"/><Relationship Id="rId423" Type="http://schemas.openxmlformats.org/officeDocument/2006/relationships/hyperlink" Target="http://enspirecreative.com/" TargetMode="External"/><Relationship Id="rId309" Type="http://schemas.openxmlformats.org/officeDocument/2006/relationships/hyperlink" Target="http://nextideatech.com/" TargetMode="External"/><Relationship Id="rId308" Type="http://schemas.openxmlformats.org/officeDocument/2006/relationships/hyperlink" Target="http://knectar.com/" TargetMode="External"/><Relationship Id="rId429" Type="http://schemas.openxmlformats.org/officeDocument/2006/relationships/hyperlink" Target="https://www.localmanagement.us/" TargetMode="External"/><Relationship Id="rId307" Type="http://schemas.openxmlformats.org/officeDocument/2006/relationships/hyperlink" Target="http://zerodegreesinc.com/" TargetMode="External"/><Relationship Id="rId428" Type="http://schemas.openxmlformats.org/officeDocument/2006/relationships/hyperlink" Target="http://ramagency.us" TargetMode="External"/><Relationship Id="rId306" Type="http://schemas.openxmlformats.org/officeDocument/2006/relationships/hyperlink" Target="http://fullcortex.com/" TargetMode="External"/><Relationship Id="rId427" Type="http://schemas.openxmlformats.org/officeDocument/2006/relationships/hyperlink" Target="http://c3medianetwork.com/" TargetMode="External"/><Relationship Id="rId301" Type="http://schemas.openxmlformats.org/officeDocument/2006/relationships/hyperlink" Target="http://traktekpartners.com/" TargetMode="External"/><Relationship Id="rId422" Type="http://schemas.openxmlformats.org/officeDocument/2006/relationships/hyperlink" Target="https://resolve.digital/" TargetMode="External"/><Relationship Id="rId300" Type="http://schemas.openxmlformats.org/officeDocument/2006/relationships/hyperlink" Target="http://gofishdigital.com/" TargetMode="External"/><Relationship Id="rId421" Type="http://schemas.openxmlformats.org/officeDocument/2006/relationships/hyperlink" Target="http://www.thinkpodagency.com/" TargetMode="External"/><Relationship Id="rId420" Type="http://schemas.openxmlformats.org/officeDocument/2006/relationships/hyperlink" Target="http://www.seychellemedia.com/" TargetMode="External"/><Relationship Id="rId415" Type="http://schemas.openxmlformats.org/officeDocument/2006/relationships/hyperlink" Target="http://www.atilus.com/" TargetMode="External"/><Relationship Id="rId414" Type="http://schemas.openxmlformats.org/officeDocument/2006/relationships/hyperlink" Target="https://www.icvmhawk.com/" TargetMode="External"/><Relationship Id="rId413" Type="http://schemas.openxmlformats.org/officeDocument/2006/relationships/hyperlink" Target="https://www.stationfour.com/" TargetMode="External"/><Relationship Id="rId412" Type="http://schemas.openxmlformats.org/officeDocument/2006/relationships/hyperlink" Target="http://digitalnext.com/" TargetMode="External"/><Relationship Id="rId419" Type="http://schemas.openxmlformats.org/officeDocument/2006/relationships/hyperlink" Target="http://www.magnetic.com/" TargetMode="External"/><Relationship Id="rId418" Type="http://schemas.openxmlformats.org/officeDocument/2006/relationships/hyperlink" Target="http://www.starrenterprises.com/" TargetMode="External"/><Relationship Id="rId417" Type="http://schemas.openxmlformats.org/officeDocument/2006/relationships/hyperlink" Target="http://www.5ivecanons.com/" TargetMode="External"/><Relationship Id="rId416" Type="http://schemas.openxmlformats.org/officeDocument/2006/relationships/hyperlink" Target="mailto:soleil691@yahoo.com" TargetMode="External"/><Relationship Id="rId411" Type="http://schemas.openxmlformats.org/officeDocument/2006/relationships/hyperlink" Target="http://www.ilumaagency.com/" TargetMode="External"/><Relationship Id="rId410" Type="http://schemas.openxmlformats.org/officeDocument/2006/relationships/hyperlink" Target="http://pkinformation.com/" TargetMode="External"/><Relationship Id="rId206" Type="http://schemas.openxmlformats.org/officeDocument/2006/relationships/hyperlink" Target="http://www.adwiremedia.com/" TargetMode="External"/><Relationship Id="rId327" Type="http://schemas.openxmlformats.org/officeDocument/2006/relationships/hyperlink" Target="https://ajroni.com/" TargetMode="External"/><Relationship Id="rId205" Type="http://schemas.openxmlformats.org/officeDocument/2006/relationships/hyperlink" Target="https://captivation.agency/" TargetMode="External"/><Relationship Id="rId326" Type="http://schemas.openxmlformats.org/officeDocument/2006/relationships/hyperlink" Target="mailto:benedict@zgraph.com" TargetMode="External"/><Relationship Id="rId204" Type="http://schemas.openxmlformats.org/officeDocument/2006/relationships/hyperlink" Target="http://www.hooah.cc/" TargetMode="External"/><Relationship Id="rId325" Type="http://schemas.openxmlformats.org/officeDocument/2006/relationships/hyperlink" Target="http://benedictadvertising.com" TargetMode="External"/><Relationship Id="rId446" Type="http://schemas.openxmlformats.org/officeDocument/2006/relationships/drawing" Target="../drawings/drawing1.xml"/><Relationship Id="rId203" Type="http://schemas.openxmlformats.org/officeDocument/2006/relationships/hyperlink" Target="about:blank" TargetMode="External"/><Relationship Id="rId324" Type="http://schemas.openxmlformats.org/officeDocument/2006/relationships/hyperlink" Target="mailto:contact@washeen.com" TargetMode="External"/><Relationship Id="rId445" Type="http://schemas.openxmlformats.org/officeDocument/2006/relationships/hyperlink" Target="mailto:coreyg@gmail.com" TargetMode="External"/><Relationship Id="rId209" Type="http://schemas.openxmlformats.org/officeDocument/2006/relationships/hyperlink" Target="http://www.dmedelivers.com/" TargetMode="External"/><Relationship Id="rId208" Type="http://schemas.openxmlformats.org/officeDocument/2006/relationships/hyperlink" Target="https://zelencommunications.com/" TargetMode="External"/><Relationship Id="rId329" Type="http://schemas.openxmlformats.org/officeDocument/2006/relationships/hyperlink" Target="mailto:daddydesign@gmail.com" TargetMode="External"/><Relationship Id="rId207" Type="http://schemas.openxmlformats.org/officeDocument/2006/relationships/hyperlink" Target="http://www.peakbiety.com/" TargetMode="External"/><Relationship Id="rId328" Type="http://schemas.openxmlformats.org/officeDocument/2006/relationships/hyperlink" Target="http://daddydesign.com" TargetMode="External"/><Relationship Id="rId440" Type="http://schemas.openxmlformats.org/officeDocument/2006/relationships/hyperlink" Target="http://www.daishocreative.com/" TargetMode="External"/><Relationship Id="rId202" Type="http://schemas.openxmlformats.org/officeDocument/2006/relationships/hyperlink" Target="https://www.marketingexpertagency.com/" TargetMode="External"/><Relationship Id="rId323" Type="http://schemas.openxmlformats.org/officeDocument/2006/relationships/hyperlink" Target="mailto:dm@websdm.us" TargetMode="External"/><Relationship Id="rId444" Type="http://schemas.openxmlformats.org/officeDocument/2006/relationships/hyperlink" Target="https://3sigmadigital.com/" TargetMode="External"/><Relationship Id="rId201" Type="http://schemas.openxmlformats.org/officeDocument/2006/relationships/hyperlink" Target="mailto:hugoreyes@hotmail.com" TargetMode="External"/><Relationship Id="rId322" Type="http://schemas.openxmlformats.org/officeDocument/2006/relationships/hyperlink" Target="https://websdm.us/" TargetMode="External"/><Relationship Id="rId443" Type="http://schemas.openxmlformats.org/officeDocument/2006/relationships/hyperlink" Target="http://webdesignmiamicompany.com" TargetMode="External"/><Relationship Id="rId200" Type="http://schemas.openxmlformats.org/officeDocument/2006/relationships/hyperlink" Target="https://www.localmanagement.us/" TargetMode="External"/><Relationship Id="rId321" Type="http://schemas.openxmlformats.org/officeDocument/2006/relationships/hyperlink" Target="mailto:himala@webstudioflorida.com" TargetMode="External"/><Relationship Id="rId442" Type="http://schemas.openxmlformats.org/officeDocument/2006/relationships/hyperlink" Target="http://referrizer.com" TargetMode="External"/><Relationship Id="rId320" Type="http://schemas.openxmlformats.org/officeDocument/2006/relationships/hyperlink" Target="https://webstudioflorida.com/" TargetMode="External"/><Relationship Id="rId441" Type="http://schemas.openxmlformats.org/officeDocument/2006/relationships/hyperlink" Target="mailto:frankirias@gmail.com" TargetMode="External"/><Relationship Id="rId316" Type="http://schemas.openxmlformats.org/officeDocument/2006/relationships/hyperlink" Target="http://insegment.com/" TargetMode="External"/><Relationship Id="rId437" Type="http://schemas.openxmlformats.org/officeDocument/2006/relationships/hyperlink" Target="http://www.peakbiety.com/" TargetMode="External"/><Relationship Id="rId315" Type="http://schemas.openxmlformats.org/officeDocument/2006/relationships/hyperlink" Target="http://prbyac.com/" TargetMode="External"/><Relationship Id="rId436" Type="http://schemas.openxmlformats.org/officeDocument/2006/relationships/hyperlink" Target="http://www.adwiremedia.com/" TargetMode="External"/><Relationship Id="rId314" Type="http://schemas.openxmlformats.org/officeDocument/2006/relationships/hyperlink" Target="http://rightpoint.com/" TargetMode="External"/><Relationship Id="rId435" Type="http://schemas.openxmlformats.org/officeDocument/2006/relationships/hyperlink" Target="https://captivation.agency/" TargetMode="External"/><Relationship Id="rId313" Type="http://schemas.openxmlformats.org/officeDocument/2006/relationships/hyperlink" Target="http://zagaran.com/" TargetMode="External"/><Relationship Id="rId434" Type="http://schemas.openxmlformats.org/officeDocument/2006/relationships/hyperlink" Target="http://www.hooah.cc/" TargetMode="External"/><Relationship Id="rId319" Type="http://schemas.openxmlformats.org/officeDocument/2006/relationships/hyperlink" Target="mailto:gary@webdaytona.com" TargetMode="External"/><Relationship Id="rId318" Type="http://schemas.openxmlformats.org/officeDocument/2006/relationships/hyperlink" Target="https://www.webdaytona.com/" TargetMode="External"/><Relationship Id="rId439" Type="http://schemas.openxmlformats.org/officeDocument/2006/relationships/hyperlink" Target="http://www.dmedelivers.com/" TargetMode="External"/><Relationship Id="rId317" Type="http://schemas.openxmlformats.org/officeDocument/2006/relationships/hyperlink" Target="http://waydigit.com/" TargetMode="External"/><Relationship Id="rId438" Type="http://schemas.openxmlformats.org/officeDocument/2006/relationships/hyperlink" Target="https://zelencommunications.com/" TargetMode="External"/><Relationship Id="rId312" Type="http://schemas.openxmlformats.org/officeDocument/2006/relationships/hyperlink" Target="http://whatarmy.com/" TargetMode="External"/><Relationship Id="rId433" Type="http://schemas.openxmlformats.org/officeDocument/2006/relationships/hyperlink" Target="https://www.marketingexpertagency.com/" TargetMode="External"/><Relationship Id="rId311" Type="http://schemas.openxmlformats.org/officeDocument/2006/relationships/hyperlink" Target="http://goinvo.com/" TargetMode="External"/><Relationship Id="rId432" Type="http://schemas.openxmlformats.org/officeDocument/2006/relationships/hyperlink" Target="mailto:hugoreyes@hotmail.com" TargetMode="External"/><Relationship Id="rId310" Type="http://schemas.openxmlformats.org/officeDocument/2006/relationships/hyperlink" Target="http://opusdesign.us/" TargetMode="External"/><Relationship Id="rId431" Type="http://schemas.openxmlformats.org/officeDocument/2006/relationships/hyperlink" Target="http://globalconceptagency.com" TargetMode="External"/><Relationship Id="rId430" Type="http://schemas.openxmlformats.org/officeDocument/2006/relationships/hyperlink" Target="http://phoenixdesign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3.75"/>
    <col customWidth="1" min="3" max="3" width="21.63"/>
    <col customWidth="1" min="4" max="4" width="49.5"/>
    <col customWidth="1" min="5" max="5" width="15.38"/>
    <col customWidth="1" min="6" max="6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</row>
    <row r="3">
      <c r="A3" s="2"/>
      <c r="B3" s="2"/>
      <c r="C3" s="2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W3" s="3"/>
      <c r="X3" s="3"/>
      <c r="Y3" s="3"/>
      <c r="Z3" s="3"/>
    </row>
    <row r="4" ht="18.75" customHeight="1">
      <c r="A4" s="2" t="s">
        <v>6</v>
      </c>
      <c r="B4" s="5" t="s">
        <v>7</v>
      </c>
      <c r="C4" s="6" t="s">
        <v>8</v>
      </c>
      <c r="D4" s="7" t="s">
        <v>9</v>
      </c>
      <c r="E4" s="8">
        <f>16178906064</f>
        <v>16178906064</v>
      </c>
      <c r="F4" s="9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</row>
    <row r="5" ht="18.75" customHeight="1">
      <c r="A5" s="2" t="s">
        <v>11</v>
      </c>
      <c r="B5" s="5" t="s">
        <v>12</v>
      </c>
      <c r="C5" s="10" t="s">
        <v>13</v>
      </c>
      <c r="D5" s="11" t="s">
        <v>14</v>
      </c>
      <c r="E5" s="12" t="s">
        <v>15</v>
      </c>
      <c r="F5" s="13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</row>
    <row r="6" ht="18.75" customHeight="1">
      <c r="A6" s="2" t="s">
        <v>17</v>
      </c>
      <c r="B6" s="5" t="s">
        <v>18</v>
      </c>
      <c r="C6" s="2" t="s">
        <v>19</v>
      </c>
      <c r="D6" s="14" t="s">
        <v>20</v>
      </c>
      <c r="E6" s="15" t="s">
        <v>21</v>
      </c>
      <c r="F6" s="11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</row>
    <row r="7" ht="18.75" customHeight="1">
      <c r="A7" s="9" t="s">
        <v>23</v>
      </c>
      <c r="B7" s="5" t="s">
        <v>24</v>
      </c>
      <c r="C7" s="2" t="s">
        <v>25</v>
      </c>
      <c r="D7" s="16" t="s">
        <v>26</v>
      </c>
      <c r="E7" s="17" t="s">
        <v>27</v>
      </c>
      <c r="F7" s="9" t="s">
        <v>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</row>
    <row r="8" ht="18.75" customHeight="1">
      <c r="A8" s="9" t="s">
        <v>29</v>
      </c>
      <c r="B8" s="5" t="s">
        <v>30</v>
      </c>
      <c r="C8" s="2" t="s">
        <v>31</v>
      </c>
      <c r="D8" s="18" t="s">
        <v>32</v>
      </c>
      <c r="E8" s="2">
        <v>1.6262311183E10</v>
      </c>
      <c r="F8" s="9" t="s">
        <v>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3"/>
      <c r="V8" s="3"/>
      <c r="W8" s="3"/>
      <c r="X8" s="3"/>
      <c r="Y8" s="3"/>
      <c r="Z8" s="3"/>
    </row>
    <row r="9" ht="18.75" customHeight="1">
      <c r="A9" s="9" t="s">
        <v>34</v>
      </c>
      <c r="B9" s="5" t="s">
        <v>35</v>
      </c>
      <c r="C9" s="2" t="s">
        <v>36</v>
      </c>
      <c r="D9" s="18" t="s">
        <v>37</v>
      </c>
      <c r="E9" s="2">
        <f>919830164473</f>
        <v>919830164473</v>
      </c>
      <c r="F9" s="9" t="s">
        <v>38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3"/>
      <c r="W9" s="3"/>
      <c r="X9" s="3"/>
      <c r="Y9" s="3"/>
      <c r="Z9" s="3"/>
    </row>
    <row r="10" ht="18.75" customHeight="1">
      <c r="A10" s="9" t="s">
        <v>39</v>
      </c>
      <c r="B10" s="5" t="s">
        <v>40</v>
      </c>
      <c r="C10" s="2" t="s">
        <v>41</v>
      </c>
      <c r="D10" s="6" t="s">
        <v>42</v>
      </c>
      <c r="E10" s="19">
        <f>+919872209333</f>
        <v>919872209333</v>
      </c>
      <c r="F10" s="20" t="s">
        <v>43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3"/>
      <c r="V10" s="3"/>
      <c r="W10" s="3"/>
      <c r="X10" s="3"/>
      <c r="Y10" s="3"/>
      <c r="Z10" s="3"/>
    </row>
    <row r="11" ht="18.75" customHeight="1">
      <c r="A11" s="9" t="s">
        <v>44</v>
      </c>
      <c r="B11" s="5" t="s">
        <v>45</v>
      </c>
      <c r="C11" s="21" t="s">
        <v>46</v>
      </c>
      <c r="D11" s="2" t="s">
        <v>47</v>
      </c>
      <c r="E11" s="22">
        <f>19176508985</f>
        <v>19176508985</v>
      </c>
      <c r="F11" s="16" t="s">
        <v>48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3"/>
      <c r="W11" s="3"/>
      <c r="X11" s="3"/>
      <c r="Y11" s="3"/>
      <c r="Z11" s="3"/>
    </row>
    <row r="12" ht="18.75" customHeight="1">
      <c r="A12" s="9" t="s">
        <v>49</v>
      </c>
      <c r="B12" s="5" t="s">
        <v>50</v>
      </c>
      <c r="C12" s="2" t="s">
        <v>51</v>
      </c>
      <c r="D12" s="16" t="s">
        <v>52</v>
      </c>
      <c r="E12" s="2" t="s">
        <v>53</v>
      </c>
      <c r="F12" s="9" t="s">
        <v>54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3"/>
      <c r="W12" s="3"/>
      <c r="X12" s="3"/>
      <c r="Y12" s="3"/>
      <c r="Z12" s="3"/>
    </row>
    <row r="13" ht="18.75" customHeight="1">
      <c r="A13" s="2" t="s">
        <v>55</v>
      </c>
      <c r="B13" s="5" t="s">
        <v>56</v>
      </c>
      <c r="C13" s="2" t="s">
        <v>57</v>
      </c>
      <c r="D13" s="9" t="s">
        <v>58</v>
      </c>
      <c r="E13" s="23" t="s">
        <v>59</v>
      </c>
      <c r="F13" s="2" t="s">
        <v>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3"/>
      <c r="V13" s="3"/>
      <c r="W13" s="3"/>
      <c r="X13" s="3"/>
      <c r="Y13" s="3"/>
      <c r="Z13" s="3"/>
    </row>
    <row r="14" ht="18.75" customHeight="1">
      <c r="A14" s="9" t="s">
        <v>61</v>
      </c>
      <c r="B14" s="5" t="s">
        <v>62</v>
      </c>
      <c r="C14" s="2" t="s">
        <v>63</v>
      </c>
      <c r="D14" s="9" t="s">
        <v>64</v>
      </c>
      <c r="E14" s="24" t="s">
        <v>65</v>
      </c>
      <c r="F14" s="16" t="s">
        <v>66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3"/>
      <c r="V14" s="3"/>
      <c r="W14" s="3"/>
      <c r="X14" s="3"/>
      <c r="Y14" s="3"/>
      <c r="Z14" s="3"/>
    </row>
    <row r="15" ht="18.75" customHeight="1">
      <c r="A15" s="9" t="s">
        <v>67</v>
      </c>
      <c r="B15" s="5" t="s">
        <v>68</v>
      </c>
      <c r="C15" s="2" t="s">
        <v>69</v>
      </c>
      <c r="D15" s="9" t="s">
        <v>70</v>
      </c>
      <c r="E15" s="25" t="s">
        <v>71</v>
      </c>
      <c r="F15" s="25" t="s">
        <v>72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3"/>
      <c r="V15" s="3"/>
      <c r="W15" s="3"/>
      <c r="X15" s="3"/>
      <c r="Y15" s="3"/>
      <c r="Z15" s="3"/>
    </row>
    <row r="16" ht="18.75" customHeight="1">
      <c r="A16" s="9" t="s">
        <v>73</v>
      </c>
      <c r="B16" s="5" t="s">
        <v>74</v>
      </c>
      <c r="C16" s="2" t="s">
        <v>75</v>
      </c>
      <c r="D16" s="2"/>
      <c r="E16" s="2">
        <f>79213239590</f>
        <v>79213239590</v>
      </c>
      <c r="F16" s="9" t="s">
        <v>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3"/>
      <c r="V16" s="3"/>
      <c r="W16" s="3"/>
      <c r="X16" s="3"/>
      <c r="Y16" s="3"/>
      <c r="Z16" s="3"/>
    </row>
    <row r="17" ht="18.75" customHeight="1">
      <c r="A17" s="2" t="s">
        <v>77</v>
      </c>
      <c r="B17" s="5" t="s">
        <v>78</v>
      </c>
      <c r="C17" s="25" t="s">
        <v>79</v>
      </c>
      <c r="D17" s="16" t="s">
        <v>80</v>
      </c>
      <c r="E17" s="2">
        <f>15162870912</f>
        <v>15162870912</v>
      </c>
      <c r="F17" s="9" t="s">
        <v>81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3"/>
      <c r="V17" s="3"/>
      <c r="W17" s="3"/>
      <c r="X17" s="3"/>
      <c r="Y17" s="3"/>
      <c r="Z17" s="3"/>
    </row>
    <row r="18" ht="18.75" customHeight="1">
      <c r="A18" s="2" t="s">
        <v>82</v>
      </c>
      <c r="B18" s="5" t="s">
        <v>83</v>
      </c>
      <c r="C18" s="25" t="s">
        <v>84</v>
      </c>
      <c r="D18" s="2"/>
      <c r="E18" s="2">
        <f>12125324748</f>
        <v>12125324748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3"/>
      <c r="V18" s="3"/>
      <c r="W18" s="3"/>
      <c r="X18" s="3"/>
      <c r="Y18" s="3"/>
      <c r="Z18" s="3"/>
    </row>
    <row r="19" ht="18.75" customHeight="1">
      <c r="A19" s="2" t="s">
        <v>85</v>
      </c>
      <c r="B19" s="5" t="s">
        <v>86</v>
      </c>
      <c r="C19" s="25" t="s">
        <v>87</v>
      </c>
      <c r="D19" s="18" t="s">
        <v>88</v>
      </c>
      <c r="E19" s="2">
        <f>15103658907</f>
        <v>15103658907</v>
      </c>
      <c r="F19" s="9" t="s">
        <v>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3"/>
      <c r="V19" s="3"/>
      <c r="W19" s="3"/>
      <c r="X19" s="3"/>
      <c r="Y19" s="3"/>
      <c r="Z19" s="3"/>
    </row>
    <row r="20" ht="18.75" customHeight="1">
      <c r="A20" s="2" t="s">
        <v>90</v>
      </c>
      <c r="B20" s="5" t="s">
        <v>91</v>
      </c>
      <c r="C20" s="26" t="s">
        <v>92</v>
      </c>
      <c r="D20" s="27" t="s">
        <v>93</v>
      </c>
      <c r="E20" s="28" t="s">
        <v>94</v>
      </c>
      <c r="F20" s="2" t="s">
        <v>95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</row>
    <row r="21" ht="18.75" customHeight="1">
      <c r="A21" s="2" t="s">
        <v>96</v>
      </c>
      <c r="B21" s="5" t="s">
        <v>97</v>
      </c>
      <c r="C21" s="29" t="s">
        <v>98</v>
      </c>
      <c r="D21" s="27" t="s">
        <v>99</v>
      </c>
      <c r="E21" s="28" t="s">
        <v>100</v>
      </c>
      <c r="F21" s="2" t="s">
        <v>101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</row>
    <row r="22" ht="18.75" customHeight="1">
      <c r="A22" s="2" t="s">
        <v>102</v>
      </c>
      <c r="B22" s="5" t="s">
        <v>103</v>
      </c>
      <c r="C22" s="30" t="s">
        <v>104</v>
      </c>
      <c r="D22" s="27" t="s">
        <v>105</v>
      </c>
      <c r="E22" s="28" t="s">
        <v>106</v>
      </c>
      <c r="F22" s="2" t="s">
        <v>107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</row>
    <row r="23" ht="18.75" customHeight="1">
      <c r="A23" s="2" t="s">
        <v>108</v>
      </c>
      <c r="B23" s="5" t="s">
        <v>109</v>
      </c>
      <c r="C23" s="29" t="s">
        <v>110</v>
      </c>
      <c r="D23" s="27" t="s">
        <v>111</v>
      </c>
      <c r="E23" s="28" t="s">
        <v>112</v>
      </c>
      <c r="F23" s="2" t="s">
        <v>113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</row>
    <row r="24" ht="18.75" customHeight="1">
      <c r="A24" s="2" t="s">
        <v>114</v>
      </c>
      <c r="B24" s="5" t="s">
        <v>115</v>
      </c>
      <c r="C24" s="29" t="s">
        <v>116</v>
      </c>
      <c r="D24" s="27" t="s">
        <v>117</v>
      </c>
      <c r="E24" s="28" t="s">
        <v>118</v>
      </c>
      <c r="F24" s="2" t="s">
        <v>119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</row>
    <row r="25" ht="18.75" customHeight="1">
      <c r="A25" s="2" t="s">
        <v>120</v>
      </c>
      <c r="B25" s="5" t="s">
        <v>121</v>
      </c>
      <c r="C25" s="31" t="s">
        <v>122</v>
      </c>
      <c r="D25" s="27" t="s">
        <v>123</v>
      </c>
      <c r="E25" s="28" t="s">
        <v>124</v>
      </c>
      <c r="F25" s="2" t="s">
        <v>125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</row>
    <row r="26" ht="18.75" customHeight="1">
      <c r="A26" s="2" t="s">
        <v>126</v>
      </c>
      <c r="B26" s="5" t="s">
        <v>127</v>
      </c>
      <c r="C26" s="29" t="s">
        <v>128</v>
      </c>
      <c r="D26" s="27" t="s">
        <v>129</v>
      </c>
      <c r="E26" s="28" t="s">
        <v>130</v>
      </c>
      <c r="F26" s="32" t="s">
        <v>131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/>
      <c r="U26" s="3"/>
      <c r="V26" s="3"/>
      <c r="W26" s="3"/>
      <c r="X26" s="3"/>
      <c r="Y26" s="3"/>
      <c r="Z26" s="3"/>
    </row>
    <row r="27" ht="18.75" customHeight="1">
      <c r="A27" s="2" t="s">
        <v>132</v>
      </c>
      <c r="B27" s="5" t="s">
        <v>133</v>
      </c>
      <c r="C27" s="33" t="s">
        <v>134</v>
      </c>
      <c r="D27" s="27" t="s">
        <v>123</v>
      </c>
      <c r="E27" s="2">
        <f>13472449664</f>
        <v>13472449664</v>
      </c>
      <c r="F27" s="2" t="s">
        <v>135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3"/>
      <c r="W27" s="3"/>
      <c r="X27" s="3"/>
      <c r="Y27" s="3"/>
      <c r="Z27" s="3"/>
    </row>
    <row r="28" ht="18.75" customHeight="1">
      <c r="A28" s="2" t="s">
        <v>136</v>
      </c>
      <c r="B28" s="5" t="s">
        <v>137</v>
      </c>
      <c r="C28" s="29" t="s">
        <v>138</v>
      </c>
      <c r="D28" s="27" t="s">
        <v>123</v>
      </c>
      <c r="E28" s="28" t="s">
        <v>139</v>
      </c>
      <c r="F28" s="2" t="s">
        <v>140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3"/>
      <c r="V28" s="3"/>
      <c r="W28" s="3"/>
      <c r="X28" s="3"/>
      <c r="Y28" s="3"/>
      <c r="Z28" s="3"/>
    </row>
    <row r="29" ht="18.75" customHeight="1">
      <c r="A29" s="2" t="s">
        <v>141</v>
      </c>
      <c r="B29" s="5" t="s">
        <v>142</v>
      </c>
      <c r="C29" s="2" t="s">
        <v>143</v>
      </c>
      <c r="D29" s="27" t="s">
        <v>144</v>
      </c>
      <c r="E29" s="34">
        <f>+447771296907</f>
        <v>447771296907</v>
      </c>
      <c r="F29" s="34" t="s">
        <v>145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3"/>
      <c r="V29" s="3"/>
      <c r="W29" s="3"/>
      <c r="X29" s="3"/>
      <c r="Y29" s="3"/>
      <c r="Z29" s="3"/>
    </row>
    <row r="30" ht="18.75" customHeight="1">
      <c r="A30" s="2" t="s">
        <v>146</v>
      </c>
      <c r="B30" s="5" t="s">
        <v>147</v>
      </c>
      <c r="C30" s="35" t="s">
        <v>148</v>
      </c>
      <c r="D30" s="27" t="s">
        <v>123</v>
      </c>
      <c r="E30" s="28" t="s">
        <v>149</v>
      </c>
      <c r="F30" s="2" t="s">
        <v>150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  <c r="U30" s="3"/>
      <c r="V30" s="3"/>
      <c r="W30" s="3"/>
      <c r="X30" s="3"/>
      <c r="Y30" s="3"/>
      <c r="Z30" s="3"/>
    </row>
    <row r="31" ht="18.75" customHeight="1">
      <c r="A31" s="2" t="s">
        <v>151</v>
      </c>
      <c r="B31" s="5" t="s">
        <v>152</v>
      </c>
      <c r="C31" s="2" t="s">
        <v>153</v>
      </c>
      <c r="D31" s="27" t="s">
        <v>154</v>
      </c>
      <c r="E31" s="28" t="s">
        <v>155</v>
      </c>
      <c r="F31" s="2" t="s">
        <v>156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3"/>
      <c r="V31" s="3"/>
      <c r="W31" s="3"/>
      <c r="X31" s="3"/>
      <c r="Y31" s="3"/>
      <c r="Z31" s="3"/>
    </row>
    <row r="32" ht="18.75" customHeight="1">
      <c r="A32" s="2" t="s">
        <v>157</v>
      </c>
      <c r="B32" s="2" t="s">
        <v>158</v>
      </c>
      <c r="C32" s="2" t="s">
        <v>159</v>
      </c>
      <c r="D32" s="27" t="s">
        <v>123</v>
      </c>
      <c r="E32" s="2">
        <f>14156911590</f>
        <v>14156911590</v>
      </c>
      <c r="F32" s="11" t="s">
        <v>160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U32" s="3"/>
      <c r="V32" s="3"/>
      <c r="W32" s="3"/>
      <c r="X32" s="3"/>
      <c r="Y32" s="3"/>
      <c r="Z32" s="3"/>
    </row>
    <row r="33" ht="18.75" customHeight="1">
      <c r="A33" s="2" t="s">
        <v>161</v>
      </c>
      <c r="B33" s="5" t="s">
        <v>162</v>
      </c>
      <c r="C33" s="2" t="s">
        <v>163</v>
      </c>
      <c r="D33" s="27" t="s">
        <v>123</v>
      </c>
      <c r="E33" s="28" t="s">
        <v>164</v>
      </c>
      <c r="F33" s="2" t="s">
        <v>165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3"/>
      <c r="V33" s="3"/>
      <c r="W33" s="3"/>
      <c r="X33" s="3"/>
      <c r="Y33" s="3"/>
      <c r="Z33" s="3"/>
    </row>
    <row r="34" ht="18.75" customHeight="1">
      <c r="A34" s="2" t="s">
        <v>166</v>
      </c>
      <c r="B34" s="5" t="s">
        <v>167</v>
      </c>
      <c r="C34" s="2" t="s">
        <v>168</v>
      </c>
      <c r="D34" s="27" t="s">
        <v>169</v>
      </c>
      <c r="E34" s="28" t="s">
        <v>170</v>
      </c>
      <c r="F34" s="2" t="s">
        <v>171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3"/>
      <c r="V34" s="3"/>
      <c r="W34" s="3"/>
      <c r="X34" s="3"/>
      <c r="Y34" s="3"/>
      <c r="Z34" s="3"/>
    </row>
    <row r="35" ht="18.75" customHeight="1">
      <c r="A35" s="2" t="s">
        <v>172</v>
      </c>
      <c r="B35" s="5" t="s">
        <v>173</v>
      </c>
      <c r="C35" s="2" t="s">
        <v>174</v>
      </c>
      <c r="D35" s="27" t="s">
        <v>175</v>
      </c>
      <c r="E35" s="28" t="s">
        <v>176</v>
      </c>
      <c r="F35" s="2" t="s">
        <v>177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3"/>
      <c r="V35" s="3"/>
      <c r="W35" s="3"/>
      <c r="X35" s="3"/>
      <c r="Y35" s="3"/>
      <c r="Z35" s="3"/>
    </row>
    <row r="36" ht="18.75" customHeight="1">
      <c r="A36" s="2" t="s">
        <v>178</v>
      </c>
      <c r="B36" s="5" t="s">
        <v>179</v>
      </c>
      <c r="C36" s="13" t="s">
        <v>180</v>
      </c>
      <c r="D36" s="27" t="s">
        <v>181</v>
      </c>
      <c r="E36" s="28" t="s">
        <v>182</v>
      </c>
      <c r="F36" s="36" t="s">
        <v>183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3"/>
      <c r="V36" s="3"/>
      <c r="W36" s="3"/>
      <c r="X36" s="3"/>
      <c r="Y36" s="3"/>
      <c r="Z36" s="3"/>
    </row>
    <row r="37" ht="18.75" customHeight="1">
      <c r="A37" s="2" t="s">
        <v>184</v>
      </c>
      <c r="B37" s="5" t="s">
        <v>185</v>
      </c>
      <c r="C37" s="2" t="s">
        <v>186</v>
      </c>
      <c r="D37" s="27" t="s">
        <v>93</v>
      </c>
      <c r="E37" s="28" t="s">
        <v>187</v>
      </c>
      <c r="F37" s="2" t="s">
        <v>188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3"/>
      <c r="V37" s="3"/>
      <c r="W37" s="3"/>
      <c r="X37" s="3"/>
      <c r="Y37" s="3"/>
      <c r="Z37" s="3"/>
    </row>
    <row r="38" ht="18.75" customHeight="1">
      <c r="A38" s="2" t="s">
        <v>189</v>
      </c>
      <c r="B38" s="5" t="s">
        <v>190</v>
      </c>
      <c r="C38" s="2" t="s">
        <v>191</v>
      </c>
      <c r="D38" s="27" t="s">
        <v>192</v>
      </c>
      <c r="E38" s="28" t="s">
        <v>193</v>
      </c>
      <c r="F38" s="2" t="s">
        <v>194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3"/>
      <c r="V38" s="3"/>
      <c r="W38" s="3"/>
      <c r="X38" s="3"/>
      <c r="Y38" s="3"/>
      <c r="Z38" s="3"/>
    </row>
    <row r="39" ht="18.75" customHeight="1">
      <c r="A39" s="2" t="s">
        <v>195</v>
      </c>
      <c r="B39" s="2" t="s">
        <v>196</v>
      </c>
      <c r="C39" s="2" t="s">
        <v>197</v>
      </c>
      <c r="D39" s="27" t="s">
        <v>198</v>
      </c>
      <c r="E39" s="28" t="s">
        <v>199</v>
      </c>
      <c r="F39" s="2" t="s">
        <v>200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3"/>
      <c r="V39" s="3"/>
      <c r="W39" s="3"/>
      <c r="X39" s="3"/>
      <c r="Y39" s="3"/>
      <c r="Z39" s="3"/>
    </row>
    <row r="40" ht="18.75" customHeight="1">
      <c r="A40" s="2" t="s">
        <v>201</v>
      </c>
      <c r="B40" s="5" t="s">
        <v>202</v>
      </c>
      <c r="C40" s="29" t="s">
        <v>203</v>
      </c>
      <c r="D40" s="27" t="s">
        <v>204</v>
      </c>
      <c r="E40" s="28" t="s">
        <v>205</v>
      </c>
      <c r="F40" s="2" t="s">
        <v>206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U40" s="3"/>
      <c r="V40" s="3"/>
      <c r="W40" s="3"/>
      <c r="X40" s="3"/>
      <c r="Y40" s="3"/>
      <c r="Z40" s="3"/>
    </row>
    <row r="41" ht="18.75" customHeight="1">
      <c r="A41" s="2" t="s">
        <v>207</v>
      </c>
      <c r="B41" s="5" t="s">
        <v>208</v>
      </c>
      <c r="C41" s="37" t="s">
        <v>209</v>
      </c>
      <c r="D41" s="27" t="s">
        <v>210</v>
      </c>
      <c r="E41" s="28" t="s">
        <v>211</v>
      </c>
      <c r="F41" s="2" t="s">
        <v>212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3"/>
      <c r="V41" s="3"/>
      <c r="W41" s="3"/>
      <c r="X41" s="3"/>
      <c r="Y41" s="3"/>
      <c r="Z41" s="3"/>
    </row>
    <row r="42" ht="18.75" customHeight="1">
      <c r="A42" s="2" t="s">
        <v>213</v>
      </c>
      <c r="B42" s="2" t="s">
        <v>214</v>
      </c>
      <c r="C42" s="2" t="s">
        <v>215</v>
      </c>
      <c r="D42" s="27" t="s">
        <v>216</v>
      </c>
      <c r="E42" s="28" t="s">
        <v>217</v>
      </c>
      <c r="F42" s="2" t="s">
        <v>218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  <c r="U42" s="3"/>
      <c r="V42" s="3"/>
      <c r="W42" s="3"/>
      <c r="X42" s="3"/>
      <c r="Y42" s="3"/>
      <c r="Z42" s="3"/>
    </row>
    <row r="43" ht="18.75" customHeight="1">
      <c r="A43" s="2" t="s">
        <v>219</v>
      </c>
      <c r="B43" s="5" t="s">
        <v>220</v>
      </c>
      <c r="C43" s="29" t="s">
        <v>221</v>
      </c>
      <c r="D43" s="27" t="s">
        <v>222</v>
      </c>
      <c r="E43" s="28" t="s">
        <v>223</v>
      </c>
      <c r="F43" s="38" t="s">
        <v>224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/>
      <c r="U43" s="3"/>
      <c r="V43" s="3"/>
      <c r="W43" s="3"/>
      <c r="X43" s="3"/>
      <c r="Y43" s="3"/>
      <c r="Z43" s="3"/>
    </row>
    <row r="44" ht="18.75" customHeight="1">
      <c r="A44" s="2" t="s">
        <v>225</v>
      </c>
      <c r="B44" s="5" t="s">
        <v>226</v>
      </c>
      <c r="C44" s="29" t="s">
        <v>227</v>
      </c>
      <c r="D44" s="27" t="s">
        <v>228</v>
      </c>
      <c r="E44" s="28" t="s">
        <v>229</v>
      </c>
      <c r="F44" s="34" t="s">
        <v>230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  <c r="U44" s="3"/>
      <c r="V44" s="3"/>
      <c r="W44" s="3"/>
      <c r="X44" s="3"/>
      <c r="Y44" s="3"/>
      <c r="Z44" s="3"/>
    </row>
    <row r="45" ht="18.75" customHeight="1">
      <c r="A45" s="2" t="s">
        <v>231</v>
      </c>
      <c r="B45" s="5" t="s">
        <v>232</v>
      </c>
      <c r="C45" s="2" t="s">
        <v>233</v>
      </c>
      <c r="D45" s="27" t="s">
        <v>234</v>
      </c>
      <c r="E45" s="28" t="s">
        <v>235</v>
      </c>
      <c r="F45" s="34" t="s">
        <v>236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3"/>
      <c r="V45" s="3"/>
      <c r="W45" s="3"/>
      <c r="X45" s="3"/>
      <c r="Y45" s="3"/>
      <c r="Z45" s="3"/>
    </row>
    <row r="46" ht="18.75" customHeight="1">
      <c r="A46" s="2" t="s">
        <v>237</v>
      </c>
      <c r="B46" s="5" t="s">
        <v>238</v>
      </c>
      <c r="C46" s="2" t="s">
        <v>239</v>
      </c>
      <c r="D46" s="27" t="s">
        <v>240</v>
      </c>
      <c r="E46" s="28" t="s">
        <v>241</v>
      </c>
      <c r="F46" s="34" t="s">
        <v>242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  <c r="U46" s="3"/>
      <c r="V46" s="3"/>
      <c r="W46" s="3"/>
      <c r="X46" s="3"/>
      <c r="Y46" s="3"/>
      <c r="Z46" s="3"/>
    </row>
    <row r="47" ht="18.75" customHeight="1">
      <c r="A47" s="2" t="s">
        <v>243</v>
      </c>
      <c r="B47" s="5" t="s">
        <v>244</v>
      </c>
      <c r="C47" s="2" t="s">
        <v>245</v>
      </c>
      <c r="D47" s="27" t="s">
        <v>246</v>
      </c>
      <c r="E47" s="28" t="s">
        <v>247</v>
      </c>
      <c r="F47" s="34" t="s">
        <v>248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/>
      <c r="U47" s="3"/>
      <c r="V47" s="3"/>
      <c r="W47" s="3"/>
      <c r="X47" s="3"/>
      <c r="Y47" s="3"/>
      <c r="Z47" s="3"/>
    </row>
    <row r="48" ht="18.75" customHeight="1">
      <c r="A48" s="2" t="s">
        <v>249</v>
      </c>
      <c r="B48" s="5" t="s">
        <v>250</v>
      </c>
      <c r="C48" s="2" t="s">
        <v>251</v>
      </c>
      <c r="D48" s="27" t="s">
        <v>123</v>
      </c>
      <c r="E48" s="28" t="s">
        <v>252</v>
      </c>
      <c r="F48" s="34" t="s">
        <v>253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"/>
      <c r="U48" s="3"/>
      <c r="V48" s="3"/>
      <c r="W48" s="3"/>
      <c r="X48" s="3"/>
      <c r="Y48" s="3"/>
      <c r="Z48" s="3"/>
    </row>
    <row r="49" ht="18.75" customHeight="1">
      <c r="A49" s="2" t="s">
        <v>254</v>
      </c>
      <c r="B49" s="2" t="s">
        <v>255</v>
      </c>
      <c r="C49" s="2" t="s">
        <v>256</v>
      </c>
      <c r="D49" s="27" t="s">
        <v>210</v>
      </c>
      <c r="E49" s="28" t="s">
        <v>257</v>
      </c>
      <c r="F49" s="34" t="s">
        <v>258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/>
      <c r="U49" s="3"/>
      <c r="V49" s="3"/>
      <c r="W49" s="3"/>
      <c r="X49" s="3"/>
      <c r="Y49" s="3"/>
      <c r="Z49" s="3"/>
    </row>
    <row r="50" ht="18.75" customHeight="1">
      <c r="A50" s="2" t="s">
        <v>259</v>
      </c>
      <c r="B50" s="5" t="s">
        <v>260</v>
      </c>
      <c r="C50" s="2" t="s">
        <v>261</v>
      </c>
      <c r="D50" s="27" t="s">
        <v>123</v>
      </c>
      <c r="E50" s="28" t="s">
        <v>262</v>
      </c>
      <c r="F50" s="11" t="s">
        <v>263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"/>
      <c r="U50" s="3"/>
      <c r="V50" s="3"/>
      <c r="W50" s="3"/>
      <c r="X50" s="3"/>
      <c r="Y50" s="3"/>
      <c r="Z50" s="3"/>
    </row>
    <row r="51" ht="18.75" customHeight="1">
      <c r="A51" s="2" t="s">
        <v>264</v>
      </c>
      <c r="B51" s="5" t="s">
        <v>265</v>
      </c>
      <c r="C51" s="2" t="s">
        <v>266</v>
      </c>
      <c r="D51" s="27" t="s">
        <v>267</v>
      </c>
      <c r="E51" s="28" t="s">
        <v>268</v>
      </c>
      <c r="F51" s="32" t="s">
        <v>269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3"/>
      <c r="U51" s="3"/>
      <c r="V51" s="3"/>
      <c r="W51" s="3"/>
      <c r="X51" s="3"/>
      <c r="Y51" s="3"/>
      <c r="Z51" s="3"/>
    </row>
    <row r="52" ht="18.75" customHeight="1">
      <c r="A52" s="2" t="s">
        <v>270</v>
      </c>
      <c r="B52" s="5" t="s">
        <v>271</v>
      </c>
      <c r="C52" s="2" t="s">
        <v>272</v>
      </c>
      <c r="D52" s="27" t="s">
        <v>273</v>
      </c>
      <c r="E52" s="28" t="s">
        <v>274</v>
      </c>
      <c r="F52" s="11" t="s">
        <v>275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"/>
      <c r="V52" s="3"/>
      <c r="W52" s="3"/>
      <c r="X52" s="3"/>
      <c r="Y52" s="3"/>
      <c r="Z52" s="3"/>
    </row>
    <row r="53" ht="18.75" customHeight="1">
      <c r="A53" s="2" t="s">
        <v>276</v>
      </c>
      <c r="B53" s="5" t="s">
        <v>277</v>
      </c>
      <c r="C53" s="2" t="s">
        <v>278</v>
      </c>
      <c r="D53" s="27" t="s">
        <v>279</v>
      </c>
      <c r="E53" s="28" t="s">
        <v>280</v>
      </c>
      <c r="F53" s="34" t="s">
        <v>281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U53" s="3"/>
      <c r="V53" s="3"/>
      <c r="W53" s="3"/>
      <c r="X53" s="3"/>
      <c r="Y53" s="3"/>
      <c r="Z53" s="3"/>
    </row>
    <row r="54" ht="18.75" customHeight="1">
      <c r="A54" s="2" t="s">
        <v>282</v>
      </c>
      <c r="B54" s="5" t="s">
        <v>283</v>
      </c>
      <c r="C54" s="29" t="s">
        <v>284</v>
      </c>
      <c r="D54" s="27" t="s">
        <v>285</v>
      </c>
      <c r="E54" s="28" t="s">
        <v>286</v>
      </c>
      <c r="F54" s="34" t="s">
        <v>287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"/>
      <c r="U54" s="3"/>
      <c r="V54" s="3"/>
      <c r="W54" s="3"/>
      <c r="X54" s="3"/>
      <c r="Y54" s="3"/>
      <c r="Z54" s="3"/>
    </row>
    <row r="55" ht="18.75" customHeight="1">
      <c r="A55" s="2" t="s">
        <v>288</v>
      </c>
      <c r="B55" s="29" t="s">
        <v>289</v>
      </c>
      <c r="C55" s="2" t="s">
        <v>290</v>
      </c>
      <c r="D55" s="27" t="s">
        <v>291</v>
      </c>
      <c r="E55" s="28" t="s">
        <v>292</v>
      </c>
      <c r="F55" s="9" t="s">
        <v>293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"/>
      <c r="U55" s="3"/>
      <c r="V55" s="3"/>
      <c r="W55" s="3"/>
      <c r="X55" s="3"/>
      <c r="Y55" s="3"/>
      <c r="Z55" s="3"/>
    </row>
    <row r="56" ht="18.75" customHeight="1">
      <c r="A56" s="2" t="s">
        <v>294</v>
      </c>
      <c r="B56" s="5" t="s">
        <v>295</v>
      </c>
      <c r="C56" s="2" t="s">
        <v>296</v>
      </c>
      <c r="D56" s="27" t="s">
        <v>297</v>
      </c>
      <c r="E56" s="28" t="s">
        <v>298</v>
      </c>
      <c r="F56" s="11" t="s">
        <v>299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3"/>
      <c r="U56" s="3"/>
      <c r="V56" s="3"/>
      <c r="W56" s="3"/>
      <c r="X56" s="3"/>
      <c r="Y56" s="3"/>
      <c r="Z56" s="3"/>
    </row>
    <row r="57" ht="18.75" customHeight="1">
      <c r="A57" s="2" t="s">
        <v>300</v>
      </c>
      <c r="B57" s="2" t="s">
        <v>301</v>
      </c>
      <c r="C57" s="2" t="s">
        <v>302</v>
      </c>
      <c r="D57" s="27" t="s">
        <v>198</v>
      </c>
      <c r="E57" s="28" t="s">
        <v>303</v>
      </c>
      <c r="F57" s="34" t="s">
        <v>304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3"/>
      <c r="U57" s="3"/>
      <c r="V57" s="3"/>
      <c r="W57" s="3"/>
      <c r="X57" s="3"/>
      <c r="Y57" s="3"/>
      <c r="Z57" s="3"/>
    </row>
    <row r="58" ht="18.75" customHeight="1">
      <c r="A58" s="2" t="s">
        <v>305</v>
      </c>
      <c r="B58" s="5" t="s">
        <v>306</v>
      </c>
      <c r="C58" s="2" t="s">
        <v>307</v>
      </c>
      <c r="D58" s="27" t="s">
        <v>308</v>
      </c>
      <c r="E58" s="28" t="s">
        <v>309</v>
      </c>
      <c r="F58" s="34" t="s">
        <v>310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3"/>
      <c r="U58" s="3"/>
      <c r="V58" s="3"/>
      <c r="W58" s="3"/>
      <c r="X58" s="3"/>
      <c r="Y58" s="3"/>
      <c r="Z58" s="3"/>
    </row>
    <row r="59" ht="18.75" customHeight="1">
      <c r="A59" s="2" t="s">
        <v>311</v>
      </c>
      <c r="B59" s="5" t="s">
        <v>312</v>
      </c>
      <c r="C59" s="29" t="s">
        <v>313</v>
      </c>
      <c r="D59" s="27" t="s">
        <v>314</v>
      </c>
      <c r="E59" s="28" t="s">
        <v>315</v>
      </c>
      <c r="F59" s="2" t="s">
        <v>316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3"/>
      <c r="U59" s="3"/>
      <c r="V59" s="3"/>
      <c r="W59" s="3"/>
      <c r="X59" s="3"/>
      <c r="Y59" s="3"/>
      <c r="Z59" s="3"/>
    </row>
    <row r="60" ht="18.75" customHeight="1">
      <c r="A60" s="2" t="s">
        <v>317</v>
      </c>
      <c r="B60" s="5" t="s">
        <v>318</v>
      </c>
      <c r="C60" s="9" t="s">
        <v>319</v>
      </c>
      <c r="D60" s="27" t="s">
        <v>314</v>
      </c>
      <c r="E60" s="28" t="s">
        <v>320</v>
      </c>
      <c r="F60" s="2" t="s">
        <v>321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3"/>
      <c r="U60" s="3"/>
      <c r="V60" s="3"/>
      <c r="W60" s="3"/>
      <c r="X60" s="3"/>
      <c r="Y60" s="3"/>
      <c r="Z60" s="3"/>
    </row>
    <row r="61" ht="18.75" customHeight="1">
      <c r="A61" s="2" t="s">
        <v>322</v>
      </c>
      <c r="B61" s="5" t="s">
        <v>323</v>
      </c>
      <c r="C61" s="2" t="s">
        <v>324</v>
      </c>
      <c r="D61" s="27" t="s">
        <v>325</v>
      </c>
      <c r="E61" s="28" t="s">
        <v>326</v>
      </c>
      <c r="F61" s="2" t="s">
        <v>327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3"/>
      <c r="V61" s="3"/>
      <c r="W61" s="3"/>
      <c r="X61" s="3"/>
      <c r="Y61" s="3"/>
      <c r="Z61" s="3"/>
    </row>
    <row r="62" ht="18.75" customHeight="1">
      <c r="A62" s="2" t="s">
        <v>328</v>
      </c>
      <c r="B62" s="5" t="s">
        <v>329</v>
      </c>
      <c r="C62" s="2" t="s">
        <v>330</v>
      </c>
      <c r="D62" s="27" t="s">
        <v>123</v>
      </c>
      <c r="E62" s="28" t="s">
        <v>331</v>
      </c>
      <c r="F62" s="2" t="s">
        <v>332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3"/>
      <c r="U62" s="3"/>
      <c r="V62" s="3"/>
      <c r="W62" s="3"/>
      <c r="X62" s="3"/>
      <c r="Y62" s="3"/>
      <c r="Z62" s="3"/>
    </row>
    <row r="63" ht="18.75" customHeight="1">
      <c r="A63" s="2" t="s">
        <v>333</v>
      </c>
      <c r="B63" s="5" t="s">
        <v>334</v>
      </c>
      <c r="C63" s="29" t="s">
        <v>335</v>
      </c>
      <c r="D63" s="27" t="s">
        <v>336</v>
      </c>
      <c r="E63" s="28" t="s">
        <v>337</v>
      </c>
      <c r="F63" s="2" t="s">
        <v>338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3"/>
      <c r="V63" s="3"/>
      <c r="W63" s="3"/>
      <c r="X63" s="3"/>
      <c r="Y63" s="3"/>
      <c r="Z63" s="3"/>
    </row>
    <row r="64" ht="18.75" customHeight="1">
      <c r="A64" s="2" t="s">
        <v>339</v>
      </c>
      <c r="B64" s="2" t="s">
        <v>340</v>
      </c>
      <c r="C64" s="2" t="s">
        <v>341</v>
      </c>
      <c r="D64" s="27" t="s">
        <v>93</v>
      </c>
      <c r="E64" s="28" t="s">
        <v>342</v>
      </c>
      <c r="F64" s="2" t="s">
        <v>343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3"/>
      <c r="U64" s="3"/>
      <c r="V64" s="3"/>
      <c r="W64" s="3"/>
      <c r="X64" s="3"/>
      <c r="Y64" s="3"/>
      <c r="Z64" s="3"/>
    </row>
    <row r="65" ht="18.75" customHeight="1">
      <c r="A65" s="2" t="s">
        <v>344</v>
      </c>
      <c r="B65" s="5" t="s">
        <v>345</v>
      </c>
      <c r="C65" s="2" t="s">
        <v>346</v>
      </c>
      <c r="D65" s="27" t="s">
        <v>347</v>
      </c>
      <c r="E65" s="28" t="s">
        <v>348</v>
      </c>
      <c r="F65" s="39" t="s">
        <v>349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3"/>
      <c r="U65" s="3"/>
      <c r="V65" s="3"/>
      <c r="W65" s="3"/>
      <c r="X65" s="3"/>
      <c r="Y65" s="3"/>
      <c r="Z65" s="3"/>
    </row>
    <row r="66" ht="18.75" customHeight="1">
      <c r="A66" s="2" t="s">
        <v>350</v>
      </c>
      <c r="B66" s="5" t="s">
        <v>351</v>
      </c>
      <c r="C66" s="2" t="s">
        <v>352</v>
      </c>
      <c r="D66" s="27" t="s">
        <v>353</v>
      </c>
      <c r="E66" s="28" t="s">
        <v>354</v>
      </c>
      <c r="F66" s="34" t="s">
        <v>355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3"/>
      <c r="V66" s="3"/>
      <c r="W66" s="3"/>
      <c r="X66" s="3"/>
      <c r="Y66" s="3"/>
      <c r="Z66" s="3"/>
    </row>
    <row r="67" ht="18.75" customHeight="1">
      <c r="A67" s="2" t="s">
        <v>356</v>
      </c>
      <c r="B67" s="5" t="s">
        <v>357</v>
      </c>
      <c r="C67" s="2" t="s">
        <v>356</v>
      </c>
      <c r="D67" s="27" t="s">
        <v>123</v>
      </c>
      <c r="E67" s="28" t="s">
        <v>358</v>
      </c>
      <c r="F67" s="2" t="s">
        <v>359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3"/>
      <c r="U67" s="3"/>
      <c r="V67" s="3"/>
      <c r="W67" s="3"/>
      <c r="X67" s="3"/>
      <c r="Y67" s="3"/>
      <c r="Z67" s="3"/>
    </row>
    <row r="68" ht="18.75" customHeight="1">
      <c r="A68" s="2" t="s">
        <v>360</v>
      </c>
      <c r="B68" s="5" t="s">
        <v>361</v>
      </c>
      <c r="C68" s="2" t="s">
        <v>362</v>
      </c>
      <c r="D68" s="27" t="s">
        <v>123</v>
      </c>
      <c r="E68" s="28" t="s">
        <v>363</v>
      </c>
      <c r="F68" s="40" t="s">
        <v>364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3"/>
      <c r="V68" s="3"/>
      <c r="W68" s="3"/>
      <c r="X68" s="3"/>
      <c r="Y68" s="3"/>
      <c r="Z68" s="3"/>
    </row>
    <row r="69" ht="18.75" customHeight="1">
      <c r="A69" s="2" t="s">
        <v>365</v>
      </c>
      <c r="B69" s="5" t="s">
        <v>366</v>
      </c>
      <c r="C69" s="2" t="s">
        <v>367</v>
      </c>
      <c r="D69" s="27" t="s">
        <v>368</v>
      </c>
      <c r="E69" s="28" t="s">
        <v>369</v>
      </c>
      <c r="F69" s="32" t="s">
        <v>370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</row>
    <row r="70" ht="18.75" customHeight="1">
      <c r="A70" s="2" t="s">
        <v>371</v>
      </c>
      <c r="B70" s="5" t="s">
        <v>372</v>
      </c>
      <c r="C70" s="2" t="s">
        <v>373</v>
      </c>
      <c r="D70" s="27" t="s">
        <v>210</v>
      </c>
      <c r="E70" s="28" t="s">
        <v>374</v>
      </c>
      <c r="F70" s="34" t="s">
        <v>375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  <c r="V70" s="3"/>
      <c r="W70" s="3"/>
      <c r="X70" s="3"/>
      <c r="Y70" s="3"/>
      <c r="Z70" s="3"/>
    </row>
    <row r="71" ht="18.75" customHeight="1">
      <c r="A71" s="2" t="s">
        <v>376</v>
      </c>
      <c r="B71" s="5" t="s">
        <v>377</v>
      </c>
      <c r="C71" s="2" t="s">
        <v>378</v>
      </c>
      <c r="D71" s="27" t="s">
        <v>379</v>
      </c>
      <c r="E71" s="28" t="s">
        <v>380</v>
      </c>
      <c r="F71" s="34" t="s">
        <v>381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  <c r="V71" s="3"/>
      <c r="W71" s="3"/>
      <c r="X71" s="3"/>
      <c r="Y71" s="3"/>
      <c r="Z71" s="3"/>
    </row>
    <row r="72" ht="18.75" customHeight="1">
      <c r="A72" s="2" t="s">
        <v>382</v>
      </c>
      <c r="B72" s="5" t="s">
        <v>383</v>
      </c>
      <c r="C72" s="2" t="s">
        <v>384</v>
      </c>
      <c r="D72" s="27" t="s">
        <v>385</v>
      </c>
      <c r="E72" s="28" t="s">
        <v>386</v>
      </c>
      <c r="F72" s="2" t="s">
        <v>387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</row>
    <row r="73" ht="18.75" customHeight="1">
      <c r="A73" s="2" t="s">
        <v>388</v>
      </c>
      <c r="B73" s="5" t="s">
        <v>389</v>
      </c>
      <c r="C73" s="2" t="s">
        <v>390</v>
      </c>
      <c r="D73" s="27" t="s">
        <v>391</v>
      </c>
      <c r="E73" s="28" t="s">
        <v>392</v>
      </c>
      <c r="F73" s="34" t="s">
        <v>393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"/>
      <c r="U73" s="3"/>
      <c r="V73" s="3"/>
      <c r="W73" s="3"/>
      <c r="X73" s="3"/>
      <c r="Y73" s="3"/>
      <c r="Z73" s="3"/>
    </row>
    <row r="74" ht="18.75" customHeight="1">
      <c r="A74" s="2" t="s">
        <v>394</v>
      </c>
      <c r="B74" s="5" t="s">
        <v>395</v>
      </c>
      <c r="C74" s="2" t="s">
        <v>396</v>
      </c>
      <c r="D74" s="27" t="s">
        <v>397</v>
      </c>
      <c r="E74" s="28" t="s">
        <v>398</v>
      </c>
      <c r="F74" s="32" t="s">
        <v>399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3"/>
      <c r="U74" s="3"/>
      <c r="V74" s="3"/>
      <c r="W74" s="3"/>
      <c r="X74" s="3"/>
      <c r="Y74" s="3"/>
      <c r="Z74" s="3"/>
    </row>
    <row r="75" ht="18.75" customHeight="1">
      <c r="A75" s="2" t="s">
        <v>400</v>
      </c>
      <c r="B75" s="5" t="s">
        <v>401</v>
      </c>
      <c r="C75" s="2" t="s">
        <v>402</v>
      </c>
      <c r="D75" s="27" t="s">
        <v>403</v>
      </c>
      <c r="E75" s="28" t="s">
        <v>404</v>
      </c>
      <c r="F75" s="32" t="s">
        <v>405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  <c r="U75" s="3"/>
      <c r="V75" s="3"/>
      <c r="W75" s="3"/>
      <c r="X75" s="3"/>
      <c r="Y75" s="3"/>
      <c r="Z75" s="3"/>
    </row>
    <row r="76" ht="18.75" customHeight="1">
      <c r="A76" s="2" t="s">
        <v>406</v>
      </c>
      <c r="B76" s="5" t="s">
        <v>407</v>
      </c>
      <c r="C76" s="2" t="s">
        <v>408</v>
      </c>
      <c r="D76" s="27" t="s">
        <v>409</v>
      </c>
      <c r="E76" s="28" t="s">
        <v>410</v>
      </c>
      <c r="F76" s="11" t="s">
        <v>411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3"/>
      <c r="U76" s="3"/>
      <c r="V76" s="3"/>
      <c r="W76" s="3"/>
      <c r="X76" s="3"/>
      <c r="Y76" s="3"/>
      <c r="Z76" s="3"/>
    </row>
    <row r="77" ht="18.75" customHeight="1">
      <c r="A77" s="2" t="s">
        <v>412</v>
      </c>
      <c r="B77" s="5" t="s">
        <v>413</v>
      </c>
      <c r="C77" s="2" t="s">
        <v>414</v>
      </c>
      <c r="D77" s="27" t="s">
        <v>415</v>
      </c>
      <c r="E77" s="28" t="s">
        <v>416</v>
      </c>
      <c r="F77" s="34" t="s">
        <v>417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3"/>
      <c r="U77" s="3"/>
      <c r="V77" s="3"/>
      <c r="W77" s="3"/>
      <c r="X77" s="3"/>
      <c r="Y77" s="3"/>
      <c r="Z77" s="3"/>
    </row>
    <row r="78" ht="18.75" customHeight="1">
      <c r="A78" s="2" t="s">
        <v>418</v>
      </c>
      <c r="B78" s="5" t="s">
        <v>419</v>
      </c>
      <c r="C78" s="2" t="s">
        <v>420</v>
      </c>
      <c r="D78" s="27" t="s">
        <v>421</v>
      </c>
      <c r="E78" s="28" t="s">
        <v>422</v>
      </c>
      <c r="F78" s="40" t="s">
        <v>423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3"/>
      <c r="U78" s="3"/>
      <c r="V78" s="3"/>
      <c r="W78" s="3"/>
      <c r="X78" s="3"/>
      <c r="Y78" s="3"/>
      <c r="Z78" s="3"/>
    </row>
    <row r="79" ht="18.75" customHeight="1">
      <c r="A79" s="2" t="s">
        <v>424</v>
      </c>
      <c r="B79" s="5" t="s">
        <v>425</v>
      </c>
      <c r="C79" s="2" t="s">
        <v>426</v>
      </c>
      <c r="D79" s="27" t="s">
        <v>421</v>
      </c>
      <c r="E79" s="28" t="s">
        <v>427</v>
      </c>
      <c r="F79" s="32" t="s">
        <v>428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3"/>
      <c r="V79" s="3"/>
      <c r="W79" s="3"/>
      <c r="X79" s="3"/>
      <c r="Y79" s="3"/>
      <c r="Z79" s="3"/>
    </row>
    <row r="80" ht="18.75" customHeight="1">
      <c r="A80" s="2" t="s">
        <v>429</v>
      </c>
      <c r="B80" s="5" t="s">
        <v>430</v>
      </c>
      <c r="C80" s="2" t="s">
        <v>431</v>
      </c>
      <c r="D80" s="27" t="s">
        <v>421</v>
      </c>
      <c r="E80" s="28" t="s">
        <v>432</v>
      </c>
      <c r="F80" s="34" t="s">
        <v>433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3"/>
      <c r="U80" s="3"/>
      <c r="V80" s="3"/>
      <c r="W80" s="3"/>
      <c r="X80" s="3"/>
      <c r="Y80" s="3"/>
      <c r="Z80" s="3"/>
    </row>
    <row r="81" ht="18.75" customHeight="1">
      <c r="A81" s="2" t="s">
        <v>434</v>
      </c>
      <c r="B81" s="5" t="s">
        <v>435</v>
      </c>
      <c r="C81" s="2" t="s">
        <v>436</v>
      </c>
      <c r="D81" s="27" t="s">
        <v>285</v>
      </c>
      <c r="E81" s="28" t="s">
        <v>437</v>
      </c>
      <c r="F81" s="34" t="s">
        <v>438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3"/>
      <c r="V81" s="3"/>
      <c r="W81" s="3"/>
      <c r="X81" s="3"/>
      <c r="Y81" s="3"/>
      <c r="Z81" s="3"/>
    </row>
    <row r="82" ht="18.75" customHeight="1">
      <c r="A82" s="2" t="s">
        <v>439</v>
      </c>
      <c r="B82" s="5" t="s">
        <v>440</v>
      </c>
      <c r="C82" s="2" t="s">
        <v>441</v>
      </c>
      <c r="D82" s="27" t="s">
        <v>442</v>
      </c>
      <c r="E82" s="28" t="s">
        <v>443</v>
      </c>
      <c r="F82" s="32" t="s">
        <v>444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3"/>
      <c r="V82" s="3"/>
      <c r="W82" s="3"/>
      <c r="X82" s="3"/>
      <c r="Y82" s="3"/>
      <c r="Z82" s="3"/>
    </row>
    <row r="83" ht="18.75" customHeight="1">
      <c r="A83" s="2" t="s">
        <v>445</v>
      </c>
      <c r="B83" s="2" t="s">
        <v>446</v>
      </c>
      <c r="C83" s="2" t="s">
        <v>447</v>
      </c>
      <c r="D83" s="27" t="s">
        <v>448</v>
      </c>
      <c r="E83" s="28" t="s">
        <v>449</v>
      </c>
      <c r="F83" s="34" t="s">
        <v>450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3"/>
      <c r="V83" s="3"/>
      <c r="W83" s="3"/>
      <c r="X83" s="3"/>
      <c r="Y83" s="3"/>
      <c r="Z83" s="3"/>
    </row>
    <row r="84" ht="18.75" customHeight="1">
      <c r="A84" s="2" t="s">
        <v>451</v>
      </c>
      <c r="B84" s="5" t="s">
        <v>452</v>
      </c>
      <c r="C84" s="35" t="s">
        <v>453</v>
      </c>
      <c r="D84" s="27" t="s">
        <v>123</v>
      </c>
      <c r="E84" s="28" t="s">
        <v>454</v>
      </c>
      <c r="F84" s="2" t="s">
        <v>455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3"/>
      <c r="U84" s="3"/>
      <c r="V84" s="3"/>
      <c r="W84" s="3"/>
      <c r="X84" s="3"/>
      <c r="Y84" s="3"/>
      <c r="Z84" s="3"/>
    </row>
    <row r="85" ht="18.75" customHeight="1">
      <c r="A85" s="2" t="s">
        <v>456</v>
      </c>
      <c r="B85" s="5" t="s">
        <v>457</v>
      </c>
      <c r="C85" s="2" t="s">
        <v>458</v>
      </c>
      <c r="D85" s="27" t="s">
        <v>421</v>
      </c>
      <c r="E85" s="28" t="s">
        <v>459</v>
      </c>
      <c r="F85" s="32" t="s">
        <v>460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3"/>
      <c r="V85" s="3"/>
      <c r="W85" s="3"/>
      <c r="X85" s="3"/>
      <c r="Y85" s="3"/>
      <c r="Z85" s="3"/>
    </row>
    <row r="86" ht="18.75" customHeight="1">
      <c r="A86" s="2" t="s">
        <v>461</v>
      </c>
      <c r="B86" s="5" t="s">
        <v>462</v>
      </c>
      <c r="C86" s="2" t="s">
        <v>463</v>
      </c>
      <c r="D86" s="27" t="s">
        <v>464</v>
      </c>
      <c r="E86" s="28" t="s">
        <v>465</v>
      </c>
      <c r="F86" s="32" t="s">
        <v>466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3"/>
      <c r="V86" s="3"/>
      <c r="W86" s="3"/>
      <c r="X86" s="3"/>
      <c r="Y86" s="3"/>
      <c r="Z86" s="3"/>
    </row>
    <row r="87" ht="18.75" customHeight="1">
      <c r="A87" s="2" t="s">
        <v>467</v>
      </c>
      <c r="B87" s="5" t="s">
        <v>468</v>
      </c>
      <c r="C87" s="2" t="s">
        <v>469</v>
      </c>
      <c r="D87" s="27" t="s">
        <v>470</v>
      </c>
      <c r="E87" s="28" t="s">
        <v>471</v>
      </c>
      <c r="F87" s="32" t="s">
        <v>472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3"/>
      <c r="V87" s="3"/>
      <c r="W87" s="3"/>
      <c r="X87" s="3"/>
      <c r="Y87" s="3"/>
      <c r="Z87" s="3"/>
    </row>
    <row r="88" ht="18.75" customHeight="1">
      <c r="A88" s="2" t="s">
        <v>473</v>
      </c>
      <c r="B88" s="5" t="s">
        <v>474</v>
      </c>
      <c r="C88" s="29" t="s">
        <v>475</v>
      </c>
      <c r="D88" s="27" t="s">
        <v>476</v>
      </c>
      <c r="E88" s="28" t="s">
        <v>477</v>
      </c>
      <c r="F88" s="9" t="s">
        <v>478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3"/>
      <c r="V88" s="3"/>
      <c r="W88" s="3"/>
      <c r="X88" s="3"/>
      <c r="Y88" s="3"/>
      <c r="Z88" s="3"/>
    </row>
    <row r="89" ht="18.75" customHeight="1">
      <c r="A89" s="2" t="s">
        <v>479</v>
      </c>
      <c r="B89" s="5" t="s">
        <v>480</v>
      </c>
      <c r="C89" s="2" t="s">
        <v>481</v>
      </c>
      <c r="D89" s="27" t="s">
        <v>482</v>
      </c>
      <c r="E89" s="28" t="s">
        <v>483</v>
      </c>
      <c r="F89" s="32" t="s">
        <v>484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3"/>
      <c r="V89" s="3"/>
      <c r="W89" s="3"/>
      <c r="X89" s="3"/>
      <c r="Y89" s="3"/>
      <c r="Z89" s="3"/>
    </row>
    <row r="90" ht="18.75" customHeight="1">
      <c r="A90" s="2" t="s">
        <v>485</v>
      </c>
      <c r="B90" s="5" t="s">
        <v>486</v>
      </c>
      <c r="C90" s="2" t="s">
        <v>487</v>
      </c>
      <c r="D90" s="27" t="s">
        <v>488</v>
      </c>
      <c r="E90" s="28" t="s">
        <v>489</v>
      </c>
      <c r="F90" s="9" t="s">
        <v>490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3"/>
      <c r="V90" s="3"/>
      <c r="W90" s="3"/>
      <c r="X90" s="3"/>
      <c r="Y90" s="3"/>
      <c r="Z90" s="3"/>
    </row>
    <row r="91" ht="18.75" customHeight="1">
      <c r="A91" s="2" t="s">
        <v>491</v>
      </c>
      <c r="B91" s="5" t="s">
        <v>492</v>
      </c>
      <c r="C91" s="2" t="s">
        <v>493</v>
      </c>
      <c r="D91" s="27" t="s">
        <v>494</v>
      </c>
      <c r="E91" s="28" t="s">
        <v>495</v>
      </c>
      <c r="F91" s="9" t="s">
        <v>496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3"/>
      <c r="V91" s="3"/>
      <c r="W91" s="3"/>
      <c r="X91" s="3"/>
      <c r="Y91" s="3"/>
      <c r="Z91" s="3"/>
    </row>
    <row r="92" ht="18.75" customHeight="1">
      <c r="A92" s="2" t="s">
        <v>497</v>
      </c>
      <c r="B92" s="5" t="s">
        <v>498</v>
      </c>
      <c r="C92" s="2" t="s">
        <v>499</v>
      </c>
      <c r="D92" s="27" t="s">
        <v>494</v>
      </c>
      <c r="E92" s="28" t="s">
        <v>500</v>
      </c>
      <c r="F92" s="32" t="s">
        <v>501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  <c r="U92" s="3"/>
      <c r="V92" s="3"/>
      <c r="W92" s="3"/>
      <c r="X92" s="3"/>
      <c r="Y92" s="3"/>
      <c r="Z92" s="3"/>
    </row>
    <row r="93" ht="18.75" customHeight="1">
      <c r="A93" s="2" t="s">
        <v>502</v>
      </c>
      <c r="B93" s="5" t="s">
        <v>503</v>
      </c>
      <c r="C93" s="2" t="s">
        <v>504</v>
      </c>
      <c r="D93" s="27" t="s">
        <v>505</v>
      </c>
      <c r="E93" s="28" t="s">
        <v>506</v>
      </c>
      <c r="F93" s="34" t="s">
        <v>507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3"/>
      <c r="V93" s="3"/>
      <c r="W93" s="3"/>
      <c r="X93" s="3"/>
      <c r="Y93" s="3"/>
      <c r="Z93" s="3"/>
    </row>
    <row r="94" ht="18.75" customHeight="1">
      <c r="A94" s="2" t="s">
        <v>508</v>
      </c>
      <c r="B94" s="5" t="s">
        <v>509</v>
      </c>
      <c r="C94" s="2" t="s">
        <v>510</v>
      </c>
      <c r="D94" s="27" t="s">
        <v>421</v>
      </c>
      <c r="E94" s="28" t="s">
        <v>511</v>
      </c>
      <c r="F94" s="11" t="s">
        <v>512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"/>
      <c r="U94" s="3"/>
      <c r="V94" s="3"/>
      <c r="W94" s="3"/>
      <c r="X94" s="3"/>
      <c r="Y94" s="3"/>
      <c r="Z94" s="3"/>
    </row>
    <row r="95" ht="18.75" customHeight="1">
      <c r="A95" s="2" t="s">
        <v>513</v>
      </c>
      <c r="B95" s="5" t="s">
        <v>514</v>
      </c>
      <c r="C95" s="2" t="s">
        <v>515</v>
      </c>
      <c r="D95" s="27" t="s">
        <v>516</v>
      </c>
      <c r="E95" s="28" t="s">
        <v>517</v>
      </c>
      <c r="F95" s="32" t="s">
        <v>518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/>
      <c r="U95" s="3"/>
      <c r="V95" s="3"/>
      <c r="W95" s="3"/>
      <c r="X95" s="3"/>
      <c r="Y95" s="3"/>
      <c r="Z95" s="3"/>
    </row>
    <row r="96" ht="18.75" customHeight="1">
      <c r="A96" s="2" t="s">
        <v>519</v>
      </c>
      <c r="B96" s="5" t="s">
        <v>520</v>
      </c>
      <c r="C96" s="2" t="s">
        <v>521</v>
      </c>
      <c r="D96" s="27" t="s">
        <v>522</v>
      </c>
      <c r="E96" s="28" t="s">
        <v>523</v>
      </c>
      <c r="F96" s="34" t="s">
        <v>524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3"/>
      <c r="V96" s="3"/>
      <c r="W96" s="3"/>
      <c r="X96" s="3"/>
      <c r="Y96" s="3"/>
      <c r="Z96" s="3"/>
    </row>
    <row r="97" ht="18.75" customHeight="1">
      <c r="A97" s="2" t="s">
        <v>525</v>
      </c>
      <c r="B97" s="5" t="s">
        <v>526</v>
      </c>
      <c r="C97" s="2" t="s">
        <v>527</v>
      </c>
      <c r="D97" s="27" t="s">
        <v>421</v>
      </c>
      <c r="E97" s="28" t="s">
        <v>528</v>
      </c>
      <c r="F97" s="34" t="s">
        <v>529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3"/>
      <c r="V97" s="3"/>
      <c r="W97" s="3"/>
      <c r="X97" s="3"/>
      <c r="Y97" s="3"/>
      <c r="Z97" s="3"/>
    </row>
    <row r="98" ht="18.75" customHeight="1">
      <c r="A98" s="2" t="s">
        <v>530</v>
      </c>
      <c r="B98" s="5" t="s">
        <v>531</v>
      </c>
      <c r="C98" s="2" t="s">
        <v>532</v>
      </c>
      <c r="D98" s="27" t="s">
        <v>421</v>
      </c>
      <c r="E98" s="28" t="s">
        <v>533</v>
      </c>
      <c r="F98" s="34" t="s">
        <v>534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/>
      <c r="U98" s="3"/>
      <c r="V98" s="3"/>
      <c r="W98" s="3"/>
      <c r="X98" s="3"/>
      <c r="Y98" s="3"/>
      <c r="Z98" s="3"/>
    </row>
    <row r="99" ht="18.75" customHeight="1">
      <c r="A99" s="2" t="s">
        <v>535</v>
      </c>
      <c r="B99" s="5" t="s">
        <v>536</v>
      </c>
      <c r="C99" s="2" t="s">
        <v>537</v>
      </c>
      <c r="D99" s="27" t="s">
        <v>93</v>
      </c>
      <c r="E99" s="28" t="s">
        <v>538</v>
      </c>
      <c r="F99" s="32" t="s">
        <v>539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3"/>
      <c r="V99" s="3"/>
      <c r="W99" s="3"/>
      <c r="X99" s="3"/>
      <c r="Y99" s="3"/>
      <c r="Z99" s="3"/>
    </row>
    <row r="100" ht="18.75" customHeight="1">
      <c r="A100" s="2" t="s">
        <v>540</v>
      </c>
      <c r="B100" s="5" t="s">
        <v>541</v>
      </c>
      <c r="C100" s="2" t="s">
        <v>542</v>
      </c>
      <c r="D100" s="27" t="s">
        <v>285</v>
      </c>
      <c r="E100" s="28" t="s">
        <v>543</v>
      </c>
      <c r="F100" s="34" t="s">
        <v>544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/>
      <c r="U100" s="3"/>
      <c r="V100" s="3"/>
      <c r="W100" s="3"/>
      <c r="X100" s="3"/>
      <c r="Y100" s="3"/>
      <c r="Z100" s="3"/>
    </row>
    <row r="101" ht="18.75" customHeight="1">
      <c r="A101" s="2" t="s">
        <v>545</v>
      </c>
      <c r="B101" s="5" t="s">
        <v>546</v>
      </c>
      <c r="C101" s="2" t="s">
        <v>547</v>
      </c>
      <c r="D101" s="27" t="s">
        <v>548</v>
      </c>
      <c r="E101" s="28" t="s">
        <v>549</v>
      </c>
      <c r="F101" s="34" t="s">
        <v>550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3"/>
      <c r="V101" s="3"/>
      <c r="W101" s="3"/>
      <c r="X101" s="3"/>
      <c r="Y101" s="3"/>
      <c r="Z101" s="3"/>
    </row>
    <row r="102" ht="18.75" customHeight="1">
      <c r="A102" s="2" t="s">
        <v>551</v>
      </c>
      <c r="B102" s="2" t="s">
        <v>552</v>
      </c>
      <c r="C102" s="2" t="s">
        <v>553</v>
      </c>
      <c r="D102" s="27" t="s">
        <v>93</v>
      </c>
      <c r="E102" s="28" t="s">
        <v>554</v>
      </c>
      <c r="F102" s="32" t="s">
        <v>555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/>
      <c r="U102" s="3"/>
      <c r="V102" s="3"/>
      <c r="W102" s="3"/>
      <c r="X102" s="3"/>
      <c r="Y102" s="3"/>
      <c r="Z102" s="3"/>
    </row>
    <row r="103" ht="18.75" customHeight="1">
      <c r="A103" s="2" t="s">
        <v>556</v>
      </c>
      <c r="B103" s="5" t="s">
        <v>557</v>
      </c>
      <c r="C103" s="2" t="s">
        <v>558</v>
      </c>
      <c r="D103" s="27" t="s">
        <v>559</v>
      </c>
      <c r="E103" s="28" t="s">
        <v>560</v>
      </c>
      <c r="F103" s="34" t="s">
        <v>561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/>
      <c r="U103" s="3"/>
      <c r="V103" s="3"/>
      <c r="W103" s="3"/>
      <c r="X103" s="3"/>
      <c r="Y103" s="3"/>
      <c r="Z103" s="3"/>
    </row>
    <row r="104" ht="18.75" customHeight="1">
      <c r="A104" s="41" t="s">
        <v>562</v>
      </c>
      <c r="B104" s="42" t="s">
        <v>563</v>
      </c>
      <c r="C104" s="41" t="s">
        <v>564</v>
      </c>
      <c r="D104" s="41" t="s">
        <v>565</v>
      </c>
      <c r="E104" s="41" t="s">
        <v>566</v>
      </c>
      <c r="F104" s="42" t="s">
        <v>567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U104" s="3"/>
      <c r="V104" s="3"/>
      <c r="W104" s="3"/>
      <c r="X104" s="3"/>
      <c r="Y104" s="3"/>
      <c r="Z104" s="3"/>
    </row>
    <row r="105" ht="18.75" customHeight="1">
      <c r="A105" s="43" t="s">
        <v>568</v>
      </c>
      <c r="B105" s="44" t="s">
        <v>569</v>
      </c>
      <c r="C105" s="43" t="s">
        <v>570</v>
      </c>
      <c r="D105" s="43" t="s">
        <v>571</v>
      </c>
      <c r="E105" s="45" t="s">
        <v>572</v>
      </c>
      <c r="F105" s="44" t="s">
        <v>573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/>
      <c r="U105" s="3"/>
      <c r="V105" s="3"/>
      <c r="W105" s="3"/>
      <c r="X105" s="3"/>
      <c r="Y105" s="3"/>
      <c r="Z105" s="3"/>
    </row>
    <row r="106" ht="18.75" customHeight="1">
      <c r="A106" s="43" t="s">
        <v>574</v>
      </c>
      <c r="B106" s="44" t="s">
        <v>575</v>
      </c>
      <c r="C106" s="43" t="s">
        <v>576</v>
      </c>
      <c r="D106" s="43" t="s">
        <v>577</v>
      </c>
      <c r="E106" s="45" t="s">
        <v>578</v>
      </c>
      <c r="F106" s="44" t="s">
        <v>579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/>
      <c r="U106" s="3"/>
      <c r="V106" s="3"/>
      <c r="W106" s="3"/>
      <c r="X106" s="3"/>
      <c r="Y106" s="3"/>
      <c r="Z106" s="3"/>
    </row>
    <row r="107" ht="18.75" customHeight="1">
      <c r="A107" s="43" t="s">
        <v>580</v>
      </c>
      <c r="B107" s="43" t="s">
        <v>581</v>
      </c>
      <c r="C107" s="43" t="s">
        <v>582</v>
      </c>
      <c r="D107" s="43" t="s">
        <v>583</v>
      </c>
      <c r="E107" s="45" t="s">
        <v>584</v>
      </c>
      <c r="F107" s="44" t="s">
        <v>585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/>
      <c r="U107" s="3"/>
      <c r="V107" s="3"/>
      <c r="W107" s="3"/>
      <c r="X107" s="3"/>
      <c r="Y107" s="3"/>
      <c r="Z107" s="3"/>
    </row>
    <row r="108" ht="18.75" customHeight="1">
      <c r="A108" s="43" t="s">
        <v>586</v>
      </c>
      <c r="B108" s="43" t="s">
        <v>587</v>
      </c>
      <c r="C108" s="43" t="s">
        <v>588</v>
      </c>
      <c r="D108" s="43" t="s">
        <v>589</v>
      </c>
      <c r="E108" s="43" t="s">
        <v>590</v>
      </c>
      <c r="F108" s="44" t="s">
        <v>591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/>
      <c r="U108" s="3"/>
      <c r="V108" s="3"/>
      <c r="W108" s="3"/>
      <c r="X108" s="3"/>
      <c r="Y108" s="3"/>
      <c r="Z108" s="3"/>
    </row>
    <row r="109" ht="18.75" customHeight="1">
      <c r="A109" s="43" t="s">
        <v>592</v>
      </c>
      <c r="B109" s="44" t="s">
        <v>593</v>
      </c>
      <c r="C109" s="43" t="s">
        <v>594</v>
      </c>
      <c r="D109" s="43" t="s">
        <v>595</v>
      </c>
      <c r="E109" s="45" t="s">
        <v>596</v>
      </c>
      <c r="F109" s="43" t="s">
        <v>597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/>
      <c r="U109" s="3"/>
      <c r="V109" s="3"/>
      <c r="W109" s="3"/>
      <c r="X109" s="3"/>
      <c r="Y109" s="3"/>
      <c r="Z109" s="3"/>
    </row>
    <row r="110" ht="18.75" customHeight="1">
      <c r="A110" s="43" t="s">
        <v>598</v>
      </c>
      <c r="B110" s="43" t="s">
        <v>599</v>
      </c>
      <c r="C110" s="43" t="s">
        <v>600</v>
      </c>
      <c r="D110" s="43" t="s">
        <v>601</v>
      </c>
      <c r="E110" s="43" t="s">
        <v>602</v>
      </c>
      <c r="F110" s="44" t="s">
        <v>603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/>
      <c r="U110" s="3"/>
      <c r="V110" s="3"/>
      <c r="W110" s="3"/>
      <c r="X110" s="3"/>
      <c r="Y110" s="3"/>
      <c r="Z110" s="3"/>
    </row>
    <row r="111" ht="18.75" customHeight="1">
      <c r="A111" s="46" t="s">
        <v>604</v>
      </c>
      <c r="B111" s="47" t="s">
        <v>605</v>
      </c>
      <c r="C111" s="46" t="s">
        <v>606</v>
      </c>
      <c r="D111" s="46" t="s">
        <v>607</v>
      </c>
      <c r="E111" s="46" t="s">
        <v>608</v>
      </c>
      <c r="F111" s="47" t="s">
        <v>609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/>
      <c r="U111" s="3"/>
      <c r="V111" s="3"/>
      <c r="W111" s="3"/>
      <c r="X111" s="3"/>
      <c r="Y111" s="3"/>
      <c r="Z111" s="3"/>
    </row>
    <row r="112" ht="18.75" customHeight="1">
      <c r="A112" s="43" t="s">
        <v>610</v>
      </c>
      <c r="B112" s="47" t="s">
        <v>611</v>
      </c>
      <c r="C112" s="43" t="s">
        <v>612</v>
      </c>
      <c r="D112" s="46" t="s">
        <v>613</v>
      </c>
      <c r="E112" s="46" t="s">
        <v>614</v>
      </c>
      <c r="F112" s="47" t="s">
        <v>615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3"/>
      <c r="V112" s="3"/>
      <c r="W112" s="3"/>
      <c r="X112" s="3"/>
      <c r="Y112" s="3"/>
      <c r="Z112" s="3"/>
    </row>
    <row r="113" ht="18.75" customHeight="1">
      <c r="A113" s="46" t="s">
        <v>616</v>
      </c>
      <c r="B113" s="47" t="s">
        <v>617</v>
      </c>
      <c r="C113" s="46" t="s">
        <v>618</v>
      </c>
      <c r="D113" s="46" t="s">
        <v>619</v>
      </c>
      <c r="E113" s="48" t="s">
        <v>620</v>
      </c>
      <c r="F113" s="46" t="s">
        <v>621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/>
      <c r="U113" s="3"/>
      <c r="V113" s="3"/>
      <c r="W113" s="3"/>
      <c r="X113" s="3"/>
      <c r="Y113" s="3"/>
      <c r="Z113" s="3"/>
    </row>
    <row r="114" ht="18.75" customHeight="1">
      <c r="A114" s="46" t="s">
        <v>622</v>
      </c>
      <c r="B114" s="47" t="s">
        <v>623</v>
      </c>
      <c r="C114" s="46" t="s">
        <v>624</v>
      </c>
      <c r="D114" s="46" t="s">
        <v>625</v>
      </c>
      <c r="E114" s="49">
        <v>1.7049185733E10</v>
      </c>
      <c r="F114" s="46" t="s">
        <v>626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</row>
    <row r="115" ht="18.75" customHeight="1">
      <c r="A115" s="46" t="s">
        <v>627</v>
      </c>
      <c r="B115" s="46" t="s">
        <v>628</v>
      </c>
      <c r="C115" s="46" t="s">
        <v>629</v>
      </c>
      <c r="D115" s="46" t="s">
        <v>630</v>
      </c>
      <c r="E115" s="48" t="s">
        <v>631</v>
      </c>
      <c r="F115" s="46" t="s">
        <v>632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</row>
    <row r="116" ht="18.75" customHeight="1">
      <c r="A116" s="46" t="s">
        <v>633</v>
      </c>
      <c r="B116" s="46" t="s">
        <v>634</v>
      </c>
      <c r="C116" s="46" t="s">
        <v>635</v>
      </c>
      <c r="D116" s="46" t="s">
        <v>636</v>
      </c>
      <c r="E116" s="48" t="s">
        <v>637</v>
      </c>
      <c r="F116" s="47" t="s">
        <v>638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</row>
    <row r="117" ht="18.75" customHeight="1">
      <c r="A117" s="46" t="s">
        <v>639</v>
      </c>
      <c r="B117" s="46" t="s">
        <v>640</v>
      </c>
      <c r="C117" s="46" t="s">
        <v>641</v>
      </c>
      <c r="D117" s="46" t="s">
        <v>154</v>
      </c>
      <c r="E117" s="48" t="s">
        <v>642</v>
      </c>
      <c r="F117" s="46" t="s">
        <v>643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</row>
    <row r="118" ht="18.75" customHeight="1">
      <c r="A118" s="46" t="s">
        <v>644</v>
      </c>
      <c r="B118" s="47" t="s">
        <v>645</v>
      </c>
      <c r="C118" s="46" t="s">
        <v>646</v>
      </c>
      <c r="D118" s="46" t="s">
        <v>647</v>
      </c>
      <c r="E118" s="48" t="s">
        <v>648</v>
      </c>
      <c r="F118" s="46" t="s">
        <v>649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/>
      <c r="U118" s="3"/>
      <c r="V118" s="3"/>
      <c r="W118" s="3"/>
      <c r="X118" s="3"/>
      <c r="Y118" s="3"/>
      <c r="Z118" s="3"/>
    </row>
    <row r="119" ht="18.75" customHeight="1">
      <c r="A119" s="46" t="s">
        <v>650</v>
      </c>
      <c r="B119" s="47" t="s">
        <v>651</v>
      </c>
      <c r="C119" s="46" t="s">
        <v>652</v>
      </c>
      <c r="D119" s="46" t="s">
        <v>653</v>
      </c>
      <c r="E119" s="48" t="s">
        <v>654</v>
      </c>
      <c r="F119" s="46" t="s">
        <v>655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/>
      <c r="U119" s="3"/>
      <c r="V119" s="3"/>
      <c r="W119" s="3"/>
      <c r="X119" s="3"/>
      <c r="Y119" s="3"/>
      <c r="Z119" s="3"/>
    </row>
    <row r="120" ht="18.75" customHeight="1">
      <c r="A120" s="46" t="s">
        <v>656</v>
      </c>
      <c r="B120" s="47" t="s">
        <v>657</v>
      </c>
      <c r="C120" s="46" t="s">
        <v>658</v>
      </c>
      <c r="D120" s="46" t="s">
        <v>659</v>
      </c>
      <c r="E120" s="46" t="s">
        <v>660</v>
      </c>
      <c r="F120" s="46" t="s">
        <v>661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/>
      <c r="U120" s="3"/>
      <c r="V120" s="3"/>
      <c r="W120" s="3"/>
      <c r="X120" s="3"/>
      <c r="Y120" s="3"/>
      <c r="Z120" s="3"/>
    </row>
    <row r="121" ht="18.75" customHeight="1">
      <c r="A121" s="46" t="s">
        <v>662</v>
      </c>
      <c r="B121" s="46" t="s">
        <v>663</v>
      </c>
      <c r="C121" s="46" t="s">
        <v>664</v>
      </c>
      <c r="D121" s="46" t="s">
        <v>665</v>
      </c>
      <c r="E121" s="48" t="s">
        <v>666</v>
      </c>
      <c r="F121" s="46" t="s">
        <v>667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/>
      <c r="U121" s="3"/>
      <c r="V121" s="3"/>
      <c r="W121" s="3"/>
      <c r="X121" s="3"/>
      <c r="Y121" s="3"/>
      <c r="Z121" s="3"/>
    </row>
    <row r="122" ht="18.75" customHeight="1">
      <c r="A122" s="46" t="s">
        <v>668</v>
      </c>
      <c r="B122" s="47" t="s">
        <v>669</v>
      </c>
      <c r="C122" s="46" t="s">
        <v>670</v>
      </c>
      <c r="D122" s="46" t="s">
        <v>671</v>
      </c>
      <c r="E122" s="48" t="s">
        <v>672</v>
      </c>
      <c r="F122" s="46" t="s">
        <v>673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3"/>
      <c r="V122" s="3"/>
      <c r="W122" s="3"/>
      <c r="X122" s="3"/>
      <c r="Y122" s="3"/>
      <c r="Z122" s="3"/>
    </row>
    <row r="123" ht="18.75" customHeight="1">
      <c r="A123" s="46" t="s">
        <v>674</v>
      </c>
      <c r="B123" s="47" t="s">
        <v>675</v>
      </c>
      <c r="C123" s="46" t="s">
        <v>676</v>
      </c>
      <c r="D123" s="46" t="s">
        <v>677</v>
      </c>
      <c r="E123" s="48" t="s">
        <v>678</v>
      </c>
      <c r="F123" s="46" t="s">
        <v>679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3"/>
      <c r="V123" s="3"/>
      <c r="W123" s="3"/>
      <c r="X123" s="3"/>
      <c r="Y123" s="3"/>
      <c r="Z123" s="3"/>
    </row>
    <row r="124" ht="18.75" customHeight="1">
      <c r="A124" s="46" t="s">
        <v>680</v>
      </c>
      <c r="B124" s="47" t="s">
        <v>681</v>
      </c>
      <c r="C124" s="46" t="s">
        <v>682</v>
      </c>
      <c r="D124" s="46" t="s">
        <v>659</v>
      </c>
      <c r="E124" s="48" t="s">
        <v>683</v>
      </c>
      <c r="F124" s="46" t="s">
        <v>684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3"/>
      <c r="V124" s="3"/>
      <c r="W124" s="3"/>
      <c r="X124" s="3"/>
      <c r="Y124" s="3"/>
      <c r="Z124" s="3"/>
    </row>
    <row r="125" ht="18.75" customHeight="1">
      <c r="A125" s="46" t="s">
        <v>685</v>
      </c>
      <c r="B125" s="47" t="s">
        <v>686</v>
      </c>
      <c r="C125" s="46" t="s">
        <v>687</v>
      </c>
      <c r="D125" s="46" t="s">
        <v>688</v>
      </c>
      <c r="E125" s="46" t="s">
        <v>689</v>
      </c>
      <c r="F125" s="46" t="s">
        <v>690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/>
      <c r="U125" s="3"/>
      <c r="V125" s="3"/>
      <c r="W125" s="3"/>
      <c r="X125" s="3"/>
      <c r="Y125" s="3"/>
      <c r="Z125" s="3"/>
    </row>
    <row r="126" ht="18.75" customHeight="1">
      <c r="A126" s="46" t="s">
        <v>691</v>
      </c>
      <c r="B126" s="46" t="s">
        <v>692</v>
      </c>
      <c r="C126" s="46" t="s">
        <v>693</v>
      </c>
      <c r="D126" s="46" t="s">
        <v>659</v>
      </c>
      <c r="E126" s="48" t="s">
        <v>694</v>
      </c>
      <c r="F126" s="47" t="s">
        <v>695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/>
      <c r="U126" s="3"/>
      <c r="V126" s="3"/>
      <c r="W126" s="3"/>
      <c r="X126" s="3"/>
      <c r="Y126" s="3"/>
      <c r="Z126" s="3"/>
    </row>
    <row r="127" ht="18.75" customHeight="1">
      <c r="A127" s="46" t="s">
        <v>696</v>
      </c>
      <c r="B127" s="47" t="s">
        <v>697</v>
      </c>
      <c r="C127" s="46" t="s">
        <v>698</v>
      </c>
      <c r="D127" s="46" t="s">
        <v>699</v>
      </c>
      <c r="E127" s="48" t="s">
        <v>700</v>
      </c>
      <c r="F127" s="46" t="s">
        <v>701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/>
      <c r="U127" s="3"/>
      <c r="V127" s="3"/>
      <c r="W127" s="3"/>
      <c r="X127" s="3"/>
      <c r="Y127" s="3"/>
      <c r="Z127" s="3"/>
    </row>
    <row r="128" ht="18.75" customHeight="1">
      <c r="A128" s="46" t="s">
        <v>702</v>
      </c>
      <c r="B128" s="47" t="s">
        <v>703</v>
      </c>
      <c r="C128" s="46" t="s">
        <v>704</v>
      </c>
      <c r="D128" s="46" t="s">
        <v>705</v>
      </c>
      <c r="E128" s="48" t="s">
        <v>706</v>
      </c>
      <c r="F128" s="46" t="s">
        <v>707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/>
      <c r="U128" s="3"/>
      <c r="V128" s="3"/>
      <c r="W128" s="3"/>
      <c r="X128" s="3"/>
      <c r="Y128" s="3"/>
      <c r="Z128" s="3"/>
    </row>
    <row r="129" ht="18.75" customHeight="1">
      <c r="A129" s="46" t="s">
        <v>708</v>
      </c>
      <c r="B129" s="47" t="s">
        <v>709</v>
      </c>
      <c r="C129" s="46" t="s">
        <v>710</v>
      </c>
      <c r="D129" s="46" t="s">
        <v>711</v>
      </c>
      <c r="E129" s="46" t="s">
        <v>712</v>
      </c>
      <c r="F129" s="46" t="s">
        <v>713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/>
      <c r="U129" s="3"/>
      <c r="V129" s="3"/>
      <c r="W129" s="3"/>
      <c r="X129" s="3"/>
      <c r="Y129" s="3"/>
      <c r="Z129" s="3"/>
    </row>
    <row r="130" ht="18.75" customHeight="1">
      <c r="A130" s="46" t="s">
        <v>714</v>
      </c>
      <c r="B130" s="47" t="s">
        <v>715</v>
      </c>
      <c r="C130" s="46" t="s">
        <v>716</v>
      </c>
      <c r="D130" s="46" t="s">
        <v>711</v>
      </c>
      <c r="E130" s="46" t="s">
        <v>717</v>
      </c>
      <c r="F130" s="46" t="s">
        <v>718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/>
      <c r="U130" s="3"/>
      <c r="V130" s="3"/>
      <c r="W130" s="3"/>
      <c r="X130" s="3"/>
      <c r="Y130" s="3"/>
      <c r="Z130" s="3"/>
    </row>
    <row r="131" ht="18.75" customHeight="1">
      <c r="A131" s="46" t="s">
        <v>719</v>
      </c>
      <c r="B131" s="47" t="s">
        <v>720</v>
      </c>
      <c r="C131" s="46" t="s">
        <v>721</v>
      </c>
      <c r="D131" s="46" t="s">
        <v>722</v>
      </c>
      <c r="E131" s="46" t="s">
        <v>723</v>
      </c>
      <c r="F131" s="47" t="s">
        <v>724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/>
      <c r="U131" s="3"/>
      <c r="V131" s="3"/>
      <c r="W131" s="3"/>
      <c r="X131" s="3"/>
      <c r="Y131" s="3"/>
      <c r="Z131" s="3"/>
    </row>
    <row r="132" ht="18.75" customHeight="1">
      <c r="A132" s="46" t="s">
        <v>725</v>
      </c>
      <c r="B132" s="47" t="s">
        <v>726</v>
      </c>
      <c r="C132" s="46" t="s">
        <v>727</v>
      </c>
      <c r="D132" s="46" t="s">
        <v>728</v>
      </c>
      <c r="E132" s="46" t="s">
        <v>729</v>
      </c>
      <c r="F132" s="46" t="s">
        <v>730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3"/>
      <c r="V132" s="3"/>
      <c r="W132" s="3"/>
      <c r="X132" s="3"/>
      <c r="Y132" s="3"/>
      <c r="Z132" s="3"/>
    </row>
    <row r="133" ht="18.75" customHeight="1">
      <c r="A133" s="46" t="s">
        <v>731</v>
      </c>
      <c r="B133" s="46" t="s">
        <v>732</v>
      </c>
      <c r="C133" s="46" t="s">
        <v>733</v>
      </c>
      <c r="D133" s="46" t="s">
        <v>734</v>
      </c>
      <c r="E133" s="46" t="s">
        <v>735</v>
      </c>
      <c r="F133" s="46" t="s">
        <v>736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/>
      <c r="U133" s="3"/>
      <c r="V133" s="3"/>
      <c r="W133" s="3"/>
      <c r="X133" s="3"/>
      <c r="Y133" s="3"/>
      <c r="Z133" s="3"/>
    </row>
    <row r="134" ht="18.75" customHeight="1">
      <c r="A134" s="46" t="s">
        <v>737</v>
      </c>
      <c r="B134" s="47" t="s">
        <v>738</v>
      </c>
      <c r="C134" s="46" t="s">
        <v>739</v>
      </c>
      <c r="D134" s="46" t="s">
        <v>740</v>
      </c>
      <c r="E134" s="48" t="s">
        <v>741</v>
      </c>
      <c r="F134" s="46" t="s">
        <v>742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/>
      <c r="U134" s="3"/>
      <c r="V134" s="3"/>
      <c r="W134" s="3"/>
      <c r="X134" s="3"/>
      <c r="Y134" s="3"/>
      <c r="Z134" s="3"/>
    </row>
    <row r="135" ht="18.75" customHeight="1">
      <c r="A135" s="46" t="s">
        <v>743</v>
      </c>
      <c r="B135" s="47" t="s">
        <v>744</v>
      </c>
      <c r="C135" s="46" t="s">
        <v>745</v>
      </c>
      <c r="D135" s="46" t="s">
        <v>659</v>
      </c>
      <c r="E135" s="46" t="s">
        <v>746</v>
      </c>
      <c r="F135" s="46" t="s">
        <v>747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/>
      <c r="U135" s="3"/>
      <c r="V135" s="3"/>
      <c r="W135" s="3"/>
      <c r="X135" s="3"/>
      <c r="Y135" s="3"/>
      <c r="Z135" s="3"/>
    </row>
    <row r="136" ht="18.75" customHeight="1">
      <c r="A136" s="46" t="s">
        <v>748</v>
      </c>
      <c r="B136" s="47" t="s">
        <v>749</v>
      </c>
      <c r="C136" s="46" t="s">
        <v>750</v>
      </c>
      <c r="D136" s="46" t="s">
        <v>659</v>
      </c>
      <c r="E136" s="46" t="s">
        <v>751</v>
      </c>
      <c r="F136" s="47" t="s">
        <v>752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/>
      <c r="U136" s="3"/>
      <c r="V136" s="3"/>
      <c r="W136" s="3"/>
      <c r="X136" s="3"/>
      <c r="Y136" s="3"/>
      <c r="Z136" s="3"/>
    </row>
    <row r="137" ht="18.75" customHeight="1">
      <c r="A137" s="46" t="s">
        <v>753</v>
      </c>
      <c r="B137" s="47" t="s">
        <v>754</v>
      </c>
      <c r="C137" s="46" t="s">
        <v>755</v>
      </c>
      <c r="D137" s="46" t="s">
        <v>699</v>
      </c>
      <c r="E137" s="46" t="s">
        <v>756</v>
      </c>
      <c r="F137" s="46" t="s">
        <v>757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/>
      <c r="U137" s="3"/>
      <c r="V137" s="3"/>
      <c r="W137" s="3"/>
      <c r="X137" s="3"/>
      <c r="Y137" s="3"/>
      <c r="Z137" s="3"/>
    </row>
    <row r="138" ht="18.75" customHeight="1">
      <c r="A138" s="46" t="s">
        <v>758</v>
      </c>
      <c r="B138" s="47" t="s">
        <v>759</v>
      </c>
      <c r="C138" s="46" t="s">
        <v>285</v>
      </c>
      <c r="D138" s="46" t="s">
        <v>760</v>
      </c>
      <c r="E138" s="46" t="s">
        <v>761</v>
      </c>
      <c r="F138" s="47" t="s">
        <v>762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3"/>
      <c r="V138" s="3"/>
      <c r="W138" s="3"/>
      <c r="X138" s="3"/>
      <c r="Y138" s="3"/>
      <c r="Z138" s="3"/>
    </row>
    <row r="139" ht="18.75" customHeight="1">
      <c r="A139" s="46" t="s">
        <v>763</v>
      </c>
      <c r="B139" s="47" t="s">
        <v>764</v>
      </c>
      <c r="C139" s="46" t="s">
        <v>765</v>
      </c>
      <c r="D139" s="46" t="s">
        <v>766</v>
      </c>
      <c r="E139" s="46" t="s">
        <v>767</v>
      </c>
      <c r="F139" s="46" t="s">
        <v>768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/>
      <c r="U139" s="3"/>
      <c r="V139" s="3"/>
      <c r="W139" s="3"/>
      <c r="X139" s="3"/>
      <c r="Y139" s="3"/>
      <c r="Z139" s="3"/>
    </row>
    <row r="140" ht="18.75" customHeight="1">
      <c r="A140" s="46" t="s">
        <v>769</v>
      </c>
      <c r="B140" s="47" t="s">
        <v>770</v>
      </c>
      <c r="C140" s="46" t="s">
        <v>771</v>
      </c>
      <c r="D140" s="46" t="s">
        <v>772</v>
      </c>
      <c r="E140" s="48" t="s">
        <v>773</v>
      </c>
      <c r="F140" s="47" t="s">
        <v>774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/>
      <c r="U140" s="3"/>
      <c r="V140" s="3"/>
      <c r="W140" s="3"/>
      <c r="X140" s="3"/>
      <c r="Y140" s="3"/>
      <c r="Z140" s="3"/>
    </row>
    <row r="141" ht="18.75" customHeight="1">
      <c r="A141" s="46" t="s">
        <v>775</v>
      </c>
      <c r="B141" s="46" t="s">
        <v>776</v>
      </c>
      <c r="C141" s="46" t="s">
        <v>777</v>
      </c>
      <c r="D141" s="46" t="s">
        <v>778</v>
      </c>
      <c r="E141" s="46" t="s">
        <v>779</v>
      </c>
      <c r="F141" s="46" t="s">
        <v>780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/>
      <c r="U141" s="3"/>
      <c r="V141" s="3"/>
      <c r="W141" s="3"/>
      <c r="X141" s="3"/>
      <c r="Y141" s="3"/>
      <c r="Z141" s="3"/>
    </row>
    <row r="142" ht="18.75" customHeight="1">
      <c r="A142" s="46" t="s">
        <v>781</v>
      </c>
      <c r="B142" s="46" t="s">
        <v>782</v>
      </c>
      <c r="C142" s="46" t="s">
        <v>783</v>
      </c>
      <c r="D142" s="46" t="s">
        <v>784</v>
      </c>
      <c r="E142" s="48" t="s">
        <v>785</v>
      </c>
      <c r="F142" s="46" t="s">
        <v>786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/>
      <c r="U142" s="3"/>
      <c r="V142" s="3"/>
      <c r="W142" s="3"/>
      <c r="X142" s="3"/>
      <c r="Y142" s="3"/>
      <c r="Z142" s="3"/>
    </row>
    <row r="143" ht="18.75" customHeight="1">
      <c r="A143" s="46" t="s">
        <v>787</v>
      </c>
      <c r="B143" s="47" t="s">
        <v>788</v>
      </c>
      <c r="C143" s="46" t="s">
        <v>789</v>
      </c>
      <c r="D143" s="46" t="s">
        <v>699</v>
      </c>
      <c r="E143" s="49">
        <v>5.617891001E9</v>
      </c>
      <c r="F143" s="46" t="s">
        <v>790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/>
      <c r="U143" s="3"/>
      <c r="V143" s="3"/>
      <c r="W143" s="3"/>
      <c r="X143" s="3"/>
      <c r="Y143" s="3"/>
      <c r="Z143" s="3"/>
    </row>
    <row r="144" ht="18.75" customHeight="1">
      <c r="A144" s="46" t="s">
        <v>791</v>
      </c>
      <c r="B144" s="47" t="s">
        <v>792</v>
      </c>
      <c r="C144" s="46" t="s">
        <v>793</v>
      </c>
      <c r="D144" s="46" t="s">
        <v>659</v>
      </c>
      <c r="E144" s="46" t="s">
        <v>794</v>
      </c>
      <c r="F144" s="47" t="s">
        <v>795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3"/>
      <c r="V144" s="3"/>
      <c r="W144" s="3"/>
      <c r="X144" s="3"/>
      <c r="Y144" s="3"/>
      <c r="Z144" s="3"/>
    </row>
    <row r="145" ht="18.75" customHeight="1">
      <c r="A145" s="46" t="s">
        <v>796</v>
      </c>
      <c r="B145" s="47" t="s">
        <v>797</v>
      </c>
      <c r="C145" s="46" t="s">
        <v>798</v>
      </c>
      <c r="D145" s="46" t="s">
        <v>711</v>
      </c>
      <c r="E145" s="48" t="s">
        <v>799</v>
      </c>
      <c r="F145" s="47" t="s">
        <v>800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/>
      <c r="U145" s="3"/>
      <c r="V145" s="3"/>
      <c r="W145" s="3"/>
      <c r="X145" s="3"/>
      <c r="Y145" s="3"/>
      <c r="Z145" s="3"/>
    </row>
    <row r="146" ht="18.75" customHeight="1">
      <c r="A146" s="46" t="s">
        <v>801</v>
      </c>
      <c r="B146" s="47" t="s">
        <v>802</v>
      </c>
      <c r="C146" s="46" t="s">
        <v>803</v>
      </c>
      <c r="D146" s="46" t="s">
        <v>154</v>
      </c>
      <c r="E146" s="48" t="s">
        <v>804</v>
      </c>
      <c r="F146" s="47" t="s">
        <v>805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/>
      <c r="U146" s="3"/>
      <c r="V146" s="3"/>
      <c r="W146" s="3"/>
      <c r="X146" s="3"/>
      <c r="Y146" s="3"/>
      <c r="Z146" s="3"/>
    </row>
    <row r="147" ht="18.75" customHeight="1">
      <c r="A147" s="46" t="s">
        <v>806</v>
      </c>
      <c r="B147" s="47" t="s">
        <v>807</v>
      </c>
      <c r="C147" s="46" t="s">
        <v>808</v>
      </c>
      <c r="D147" s="46" t="s">
        <v>809</v>
      </c>
      <c r="E147" s="48" t="s">
        <v>810</v>
      </c>
      <c r="F147" s="47" t="s">
        <v>811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/>
      <c r="U147" s="3"/>
      <c r="V147" s="3"/>
      <c r="W147" s="3"/>
      <c r="X147" s="3"/>
      <c r="Y147" s="3"/>
      <c r="Z147" s="3"/>
    </row>
    <row r="148" ht="18.75" customHeight="1">
      <c r="A148" s="46" t="s">
        <v>812</v>
      </c>
      <c r="B148" s="47" t="s">
        <v>813</v>
      </c>
      <c r="C148" s="46" t="s">
        <v>814</v>
      </c>
      <c r="D148" s="46" t="s">
        <v>815</v>
      </c>
      <c r="E148" s="48" t="s">
        <v>816</v>
      </c>
      <c r="F148" s="47" t="s">
        <v>817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/>
      <c r="U148" s="3"/>
      <c r="V148" s="3"/>
      <c r="W148" s="3"/>
      <c r="X148" s="3"/>
      <c r="Y148" s="3"/>
      <c r="Z148" s="3"/>
    </row>
    <row r="149" ht="18.75" customHeight="1">
      <c r="A149" s="46" t="s">
        <v>818</v>
      </c>
      <c r="B149" s="47" t="s">
        <v>819</v>
      </c>
      <c r="C149" s="46" t="s">
        <v>820</v>
      </c>
      <c r="D149" s="46" t="s">
        <v>659</v>
      </c>
      <c r="E149" s="48" t="s">
        <v>821</v>
      </c>
      <c r="F149" s="47" t="s">
        <v>822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3"/>
      <c r="V149" s="3"/>
      <c r="W149" s="3"/>
      <c r="X149" s="3"/>
      <c r="Y149" s="3"/>
      <c r="Z149" s="3"/>
    </row>
    <row r="150" ht="18.75" customHeight="1">
      <c r="A150" s="46" t="s">
        <v>823</v>
      </c>
      <c r="B150" s="47" t="s">
        <v>824</v>
      </c>
      <c r="C150" s="46" t="s">
        <v>825</v>
      </c>
      <c r="D150" s="46" t="s">
        <v>659</v>
      </c>
      <c r="E150" s="48" t="s">
        <v>826</v>
      </c>
      <c r="F150" s="47" t="s">
        <v>827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/>
      <c r="U150" s="3"/>
      <c r="V150" s="3"/>
      <c r="W150" s="3"/>
      <c r="X150" s="3"/>
      <c r="Y150" s="3"/>
      <c r="Z150" s="3"/>
    </row>
    <row r="151" ht="18.75" customHeight="1">
      <c r="A151" s="46" t="s">
        <v>828</v>
      </c>
      <c r="B151" s="47" t="s">
        <v>829</v>
      </c>
      <c r="C151" s="46" t="s">
        <v>830</v>
      </c>
      <c r="D151" s="46" t="s">
        <v>659</v>
      </c>
      <c r="E151" s="48" t="s">
        <v>831</v>
      </c>
      <c r="F151" s="46" t="s">
        <v>832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  <c r="U151" s="3"/>
      <c r="V151" s="3"/>
      <c r="W151" s="3"/>
      <c r="X151" s="3"/>
      <c r="Y151" s="3"/>
      <c r="Z151" s="3"/>
    </row>
    <row r="152" ht="18.75" customHeight="1">
      <c r="A152" s="46" t="s">
        <v>833</v>
      </c>
      <c r="B152" s="47" t="s">
        <v>834</v>
      </c>
      <c r="C152" s="46" t="s">
        <v>835</v>
      </c>
      <c r="D152" s="46" t="s">
        <v>766</v>
      </c>
      <c r="E152" s="48" t="s">
        <v>836</v>
      </c>
      <c r="F152" s="47" t="s">
        <v>837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"/>
      <c r="U152" s="3"/>
      <c r="V152" s="3"/>
      <c r="W152" s="3"/>
      <c r="X152" s="3"/>
      <c r="Y152" s="3"/>
      <c r="Z152" s="3"/>
    </row>
    <row r="153" ht="18.75" customHeight="1">
      <c r="A153" s="46" t="s">
        <v>838</v>
      </c>
      <c r="B153" s="47" t="s">
        <v>839</v>
      </c>
      <c r="C153" s="46" t="s">
        <v>840</v>
      </c>
      <c r="D153" s="46" t="s">
        <v>740</v>
      </c>
      <c r="E153" s="48" t="s">
        <v>841</v>
      </c>
      <c r="F153" s="47" t="s">
        <v>842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/>
      <c r="U153" s="3"/>
      <c r="V153" s="3"/>
      <c r="W153" s="3"/>
      <c r="X153" s="3"/>
      <c r="Y153" s="3"/>
      <c r="Z153" s="3"/>
    </row>
    <row r="154" ht="18.75" customHeight="1">
      <c r="A154" s="46" t="s">
        <v>843</v>
      </c>
      <c r="B154" s="47" t="s">
        <v>844</v>
      </c>
      <c r="C154" s="46" t="s">
        <v>845</v>
      </c>
      <c r="D154" s="46" t="s">
        <v>846</v>
      </c>
      <c r="E154" s="48" t="s">
        <v>847</v>
      </c>
      <c r="F154" s="47" t="s">
        <v>848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/>
      <c r="U154" s="3"/>
      <c r="V154" s="3"/>
      <c r="W154" s="3"/>
      <c r="X154" s="3"/>
      <c r="Y154" s="3"/>
      <c r="Z154" s="3"/>
    </row>
    <row r="155" ht="18.75" customHeight="1">
      <c r="A155" s="46" t="s">
        <v>849</v>
      </c>
      <c r="B155" s="47" t="s">
        <v>850</v>
      </c>
      <c r="C155" s="46" t="s">
        <v>851</v>
      </c>
      <c r="D155" s="46" t="s">
        <v>852</v>
      </c>
      <c r="E155" s="48" t="s">
        <v>853</v>
      </c>
      <c r="F155" s="47" t="s">
        <v>854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/>
      <c r="U155" s="3"/>
      <c r="V155" s="3"/>
      <c r="W155" s="3"/>
      <c r="X155" s="3"/>
      <c r="Y155" s="3"/>
      <c r="Z155" s="3"/>
    </row>
    <row r="156" ht="18.75" customHeight="1">
      <c r="A156" s="46" t="s">
        <v>855</v>
      </c>
      <c r="B156" s="47" t="s">
        <v>856</v>
      </c>
      <c r="C156" s="46" t="s">
        <v>857</v>
      </c>
      <c r="D156" s="46" t="s">
        <v>858</v>
      </c>
      <c r="E156" s="48" t="s">
        <v>859</v>
      </c>
      <c r="F156" s="47" t="s">
        <v>860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/>
      <c r="U156" s="3"/>
      <c r="V156" s="3"/>
      <c r="W156" s="3"/>
      <c r="X156" s="3"/>
      <c r="Y156" s="3"/>
      <c r="Z156" s="3"/>
    </row>
    <row r="157" ht="18.75" customHeight="1">
      <c r="A157" s="46" t="s">
        <v>861</v>
      </c>
      <c r="B157" s="47" t="s">
        <v>862</v>
      </c>
      <c r="C157" s="46" t="s">
        <v>863</v>
      </c>
      <c r="D157" s="46" t="s">
        <v>864</v>
      </c>
      <c r="E157" s="48" t="s">
        <v>865</v>
      </c>
      <c r="F157" s="47" t="s">
        <v>866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/>
      <c r="U157" s="3"/>
      <c r="V157" s="3"/>
      <c r="W157" s="3"/>
      <c r="X157" s="3"/>
      <c r="Y157" s="3"/>
      <c r="Z157" s="3"/>
    </row>
    <row r="158" ht="18.75" customHeight="1">
      <c r="A158" s="46" t="s">
        <v>867</v>
      </c>
      <c r="B158" s="47" t="s">
        <v>868</v>
      </c>
      <c r="C158" s="46" t="s">
        <v>869</v>
      </c>
      <c r="D158" s="46" t="s">
        <v>659</v>
      </c>
      <c r="E158" s="48" t="s">
        <v>870</v>
      </c>
      <c r="F158" s="47" t="s">
        <v>871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3"/>
      <c r="V158" s="3"/>
      <c r="W158" s="3"/>
      <c r="X158" s="3"/>
      <c r="Y158" s="3"/>
      <c r="Z158" s="3"/>
    </row>
    <row r="159" ht="18.75" customHeight="1">
      <c r="A159" s="46" t="s">
        <v>872</v>
      </c>
      <c r="B159" s="47" t="s">
        <v>873</v>
      </c>
      <c r="C159" s="46" t="s">
        <v>874</v>
      </c>
      <c r="D159" s="46" t="s">
        <v>875</v>
      </c>
      <c r="E159" s="48" t="s">
        <v>876</v>
      </c>
      <c r="F159" s="48" t="s">
        <v>877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3"/>
    </row>
    <row r="160" ht="18.75" customHeight="1">
      <c r="A160" s="46" t="s">
        <v>878</v>
      </c>
      <c r="B160" s="47" t="s">
        <v>879</v>
      </c>
      <c r="C160" s="46" t="s">
        <v>880</v>
      </c>
      <c r="D160" s="46" t="s">
        <v>881</v>
      </c>
      <c r="E160" s="49">
        <v>1.4028028715E10</v>
      </c>
      <c r="F160" s="47" t="s">
        <v>882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3"/>
    </row>
    <row r="161" ht="18.75" customHeight="1">
      <c r="A161" s="46" t="s">
        <v>883</v>
      </c>
      <c r="B161" s="47" t="s">
        <v>884</v>
      </c>
      <c r="C161" s="46" t="s">
        <v>885</v>
      </c>
      <c r="D161" s="46" t="s">
        <v>740</v>
      </c>
      <c r="E161" s="48" t="s">
        <v>886</v>
      </c>
      <c r="F161" s="47" t="s">
        <v>887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3"/>
    </row>
    <row r="162" ht="18.75" customHeight="1">
      <c r="A162" s="46" t="s">
        <v>888</v>
      </c>
      <c r="B162" s="47" t="s">
        <v>889</v>
      </c>
      <c r="C162" s="46" t="s">
        <v>890</v>
      </c>
      <c r="D162" s="46" t="s">
        <v>154</v>
      </c>
      <c r="E162" s="46" t="s">
        <v>891</v>
      </c>
      <c r="F162" s="47" t="s">
        <v>892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3"/>
    </row>
    <row r="163" ht="18.75" customHeight="1">
      <c r="A163" s="46" t="s">
        <v>893</v>
      </c>
      <c r="B163" s="47" t="s">
        <v>894</v>
      </c>
      <c r="C163" s="46" t="s">
        <v>895</v>
      </c>
      <c r="D163" s="46" t="s">
        <v>896</v>
      </c>
      <c r="E163" s="48" t="s">
        <v>897</v>
      </c>
      <c r="F163" s="47" t="s">
        <v>898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/>
      <c r="U163" s="3"/>
      <c r="V163" s="3"/>
      <c r="W163" s="3"/>
      <c r="X163" s="3"/>
      <c r="Y163" s="3"/>
      <c r="Z163" s="3"/>
    </row>
    <row r="164" ht="18.75" customHeight="1">
      <c r="A164" s="46" t="s">
        <v>899</v>
      </c>
      <c r="B164" s="47" t="s">
        <v>900</v>
      </c>
      <c r="C164" s="46" t="s">
        <v>901</v>
      </c>
      <c r="D164" s="46" t="s">
        <v>659</v>
      </c>
      <c r="E164" s="48" t="s">
        <v>902</v>
      </c>
      <c r="F164" s="47" t="s">
        <v>903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/>
      <c r="U164" s="3"/>
      <c r="V164" s="3"/>
      <c r="W164" s="3"/>
      <c r="X164" s="3"/>
      <c r="Y164" s="3"/>
      <c r="Z164" s="3"/>
    </row>
    <row r="165" ht="18.75" customHeight="1">
      <c r="A165" s="46" t="s">
        <v>904</v>
      </c>
      <c r="B165" s="47" t="s">
        <v>905</v>
      </c>
      <c r="C165" s="46" t="s">
        <v>906</v>
      </c>
      <c r="D165" s="46" t="s">
        <v>665</v>
      </c>
      <c r="E165" s="48" t="s">
        <v>907</v>
      </c>
      <c r="F165" s="47" t="s">
        <v>908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/>
      <c r="U165" s="3"/>
      <c r="V165" s="3"/>
      <c r="W165" s="3"/>
      <c r="X165" s="3"/>
      <c r="Y165" s="3"/>
      <c r="Z165" s="3"/>
    </row>
    <row r="166" ht="18.75" customHeight="1">
      <c r="A166" s="46" t="s">
        <v>909</v>
      </c>
      <c r="B166" s="47" t="s">
        <v>910</v>
      </c>
      <c r="C166" s="46" t="s">
        <v>911</v>
      </c>
      <c r="D166" s="46" t="s">
        <v>154</v>
      </c>
      <c r="E166" s="48" t="s">
        <v>912</v>
      </c>
      <c r="F166" s="47" t="s">
        <v>913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/>
      <c r="U166" s="3"/>
      <c r="V166" s="3"/>
      <c r="W166" s="3"/>
      <c r="X166" s="3"/>
      <c r="Y166" s="3"/>
      <c r="Z166" s="3"/>
    </row>
    <row r="167" ht="18.75" customHeight="1">
      <c r="A167" s="46" t="s">
        <v>914</v>
      </c>
      <c r="B167" s="47" t="s">
        <v>915</v>
      </c>
      <c r="C167" s="46" t="s">
        <v>916</v>
      </c>
      <c r="D167" s="46" t="s">
        <v>671</v>
      </c>
      <c r="E167" s="48" t="s">
        <v>917</v>
      </c>
      <c r="F167" s="47" t="s">
        <v>918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/>
      <c r="U167" s="3"/>
      <c r="V167" s="3"/>
      <c r="W167" s="3"/>
      <c r="X167" s="3"/>
      <c r="Y167" s="3"/>
      <c r="Z167" s="3"/>
    </row>
    <row r="168" ht="18.75" customHeight="1">
      <c r="A168" s="46" t="s">
        <v>919</v>
      </c>
      <c r="B168" s="47" t="s">
        <v>920</v>
      </c>
      <c r="C168" s="46" t="s">
        <v>921</v>
      </c>
      <c r="D168" s="46" t="s">
        <v>809</v>
      </c>
      <c r="E168" s="48" t="s">
        <v>922</v>
      </c>
      <c r="F168" s="47" t="s">
        <v>923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/>
      <c r="U168" s="3"/>
      <c r="V168" s="3"/>
      <c r="W168" s="3"/>
      <c r="X168" s="3"/>
      <c r="Y168" s="3"/>
      <c r="Z168" s="3"/>
    </row>
    <row r="169" ht="18.75" customHeight="1">
      <c r="A169" s="46" t="s">
        <v>924</v>
      </c>
      <c r="B169" s="47" t="s">
        <v>925</v>
      </c>
      <c r="C169" s="46" t="s">
        <v>926</v>
      </c>
      <c r="D169" s="46" t="s">
        <v>927</v>
      </c>
      <c r="E169" s="48" t="s">
        <v>928</v>
      </c>
      <c r="F169" s="47" t="s">
        <v>929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/>
      <c r="U169" s="3"/>
      <c r="V169" s="3"/>
      <c r="W169" s="3"/>
      <c r="X169" s="3"/>
      <c r="Y169" s="3"/>
      <c r="Z169" s="3"/>
    </row>
    <row r="170" ht="18.75" customHeight="1">
      <c r="A170" s="46" t="s">
        <v>930</v>
      </c>
      <c r="B170" s="47" t="s">
        <v>931</v>
      </c>
      <c r="C170" s="46" t="s">
        <v>932</v>
      </c>
      <c r="D170" s="46" t="s">
        <v>766</v>
      </c>
      <c r="E170" s="48" t="s">
        <v>933</v>
      </c>
      <c r="F170" s="47" t="s">
        <v>934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3"/>
      <c r="V170" s="3"/>
      <c r="W170" s="3"/>
      <c r="X170" s="3"/>
      <c r="Y170" s="3"/>
      <c r="Z170" s="3"/>
    </row>
    <row r="171" ht="18.75" customHeight="1">
      <c r="A171" s="46" t="s">
        <v>935</v>
      </c>
      <c r="B171" s="47" t="s">
        <v>936</v>
      </c>
      <c r="C171" s="46" t="s">
        <v>937</v>
      </c>
      <c r="D171" s="46" t="s">
        <v>938</v>
      </c>
      <c r="E171" s="48" t="s">
        <v>939</v>
      </c>
      <c r="F171" s="47" t="s">
        <v>940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/>
      <c r="U171" s="3"/>
      <c r="V171" s="3"/>
      <c r="W171" s="3"/>
      <c r="X171" s="3"/>
      <c r="Y171" s="3"/>
      <c r="Z171" s="3"/>
    </row>
    <row r="172" ht="18.75" customHeight="1">
      <c r="A172" s="46" t="s">
        <v>941</v>
      </c>
      <c r="B172" s="47" t="s">
        <v>942</v>
      </c>
      <c r="C172" s="46" t="s">
        <v>943</v>
      </c>
      <c r="D172" s="46" t="s">
        <v>665</v>
      </c>
      <c r="E172" s="48" t="s">
        <v>944</v>
      </c>
      <c r="F172" s="47" t="s">
        <v>945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3"/>
      <c r="U172" s="3"/>
      <c r="V172" s="3"/>
      <c r="W172" s="3"/>
      <c r="X172" s="3"/>
      <c r="Y172" s="3"/>
      <c r="Z172" s="3"/>
    </row>
    <row r="173" ht="18.75" customHeight="1">
      <c r="A173" s="46" t="s">
        <v>946</v>
      </c>
      <c r="B173" s="47" t="s">
        <v>947</v>
      </c>
      <c r="C173" s="46" t="s">
        <v>948</v>
      </c>
      <c r="D173" s="46" t="s">
        <v>949</v>
      </c>
      <c r="E173" s="48" t="s">
        <v>950</v>
      </c>
      <c r="F173" s="47" t="s">
        <v>951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3"/>
      <c r="U173" s="3"/>
      <c r="V173" s="3"/>
      <c r="W173" s="3"/>
      <c r="X173" s="3"/>
      <c r="Y173" s="3"/>
      <c r="Z173" s="3"/>
    </row>
    <row r="174" ht="18.75" customHeight="1">
      <c r="A174" s="46" t="s">
        <v>952</v>
      </c>
      <c r="B174" s="47" t="s">
        <v>953</v>
      </c>
      <c r="C174" s="46" t="s">
        <v>954</v>
      </c>
      <c r="D174" s="46" t="s">
        <v>955</v>
      </c>
      <c r="E174" s="48" t="s">
        <v>956</v>
      </c>
      <c r="F174" s="47" t="s">
        <v>957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3"/>
      <c r="U174" s="3"/>
      <c r="V174" s="3"/>
      <c r="W174" s="3"/>
      <c r="X174" s="3"/>
      <c r="Y174" s="3"/>
      <c r="Z174" s="3"/>
    </row>
    <row r="175" ht="18.75" customHeight="1">
      <c r="A175" s="46" t="s">
        <v>958</v>
      </c>
      <c r="B175" s="47" t="s">
        <v>959</v>
      </c>
      <c r="C175" s="46" t="s">
        <v>960</v>
      </c>
      <c r="D175" s="46" t="s">
        <v>938</v>
      </c>
      <c r="E175" s="48" t="s">
        <v>961</v>
      </c>
      <c r="F175" s="47" t="s">
        <v>962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3"/>
      <c r="U175" s="3"/>
      <c r="V175" s="3"/>
      <c r="W175" s="3"/>
      <c r="X175" s="3"/>
      <c r="Y175" s="3"/>
      <c r="Z175" s="3"/>
    </row>
    <row r="176" ht="18.75" customHeight="1">
      <c r="A176" s="46" t="s">
        <v>963</v>
      </c>
      <c r="B176" s="47" t="s">
        <v>964</v>
      </c>
      <c r="C176" s="46" t="s">
        <v>965</v>
      </c>
      <c r="D176" s="46" t="s">
        <v>966</v>
      </c>
      <c r="E176" s="48" t="s">
        <v>967</v>
      </c>
      <c r="F176" s="47" t="s">
        <v>968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3"/>
      <c r="V176" s="3"/>
      <c r="W176" s="3"/>
      <c r="X176" s="3"/>
      <c r="Y176" s="3"/>
      <c r="Z176" s="3"/>
    </row>
    <row r="177" ht="18.75" customHeight="1">
      <c r="A177" s="46" t="s">
        <v>969</v>
      </c>
      <c r="B177" s="47" t="s">
        <v>970</v>
      </c>
      <c r="C177" s="46" t="s">
        <v>971</v>
      </c>
      <c r="D177" s="46" t="s">
        <v>972</v>
      </c>
      <c r="E177" s="48" t="s">
        <v>973</v>
      </c>
      <c r="F177" s="47" t="s">
        <v>974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/>
      <c r="U177" s="3"/>
      <c r="V177" s="3"/>
      <c r="W177" s="3"/>
      <c r="X177" s="3"/>
      <c r="Y177" s="3"/>
      <c r="Z177" s="3"/>
    </row>
    <row r="178" ht="18.75" customHeight="1">
      <c r="A178" s="46" t="s">
        <v>975</v>
      </c>
      <c r="B178" s="47" t="s">
        <v>976</v>
      </c>
      <c r="C178" s="46" t="s">
        <v>977</v>
      </c>
      <c r="D178" s="46" t="s">
        <v>978</v>
      </c>
      <c r="E178" s="48" t="s">
        <v>979</v>
      </c>
      <c r="F178" s="47" t="s">
        <v>980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3"/>
      <c r="U178" s="3"/>
      <c r="V178" s="3"/>
      <c r="W178" s="3"/>
      <c r="X178" s="3"/>
      <c r="Y178" s="3"/>
      <c r="Z178" s="3"/>
    </row>
    <row r="179" ht="18.75" customHeight="1">
      <c r="A179" s="46" t="s">
        <v>981</v>
      </c>
      <c r="B179" s="47" t="s">
        <v>982</v>
      </c>
      <c r="C179" s="46" t="s">
        <v>983</v>
      </c>
      <c r="D179" s="46" t="s">
        <v>984</v>
      </c>
      <c r="E179" s="48" t="s">
        <v>985</v>
      </c>
      <c r="F179" s="47" t="s">
        <v>986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3"/>
      <c r="U179" s="3"/>
      <c r="V179" s="3"/>
      <c r="W179" s="3"/>
      <c r="X179" s="3"/>
      <c r="Y179" s="3"/>
      <c r="Z179" s="3"/>
    </row>
    <row r="180" ht="18.75" customHeight="1">
      <c r="A180" s="46" t="s">
        <v>987</v>
      </c>
      <c r="B180" s="47" t="s">
        <v>988</v>
      </c>
      <c r="C180" s="46" t="s">
        <v>989</v>
      </c>
      <c r="D180" s="46" t="s">
        <v>990</v>
      </c>
      <c r="E180" s="48" t="s">
        <v>991</v>
      </c>
      <c r="F180" s="47" t="s">
        <v>992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3"/>
      <c r="U180" s="3"/>
      <c r="V180" s="3"/>
      <c r="W180" s="3"/>
      <c r="X180" s="3"/>
      <c r="Y180" s="3"/>
      <c r="Z180" s="3"/>
    </row>
    <row r="181" ht="18.75" customHeight="1">
      <c r="A181" s="46" t="s">
        <v>993</v>
      </c>
      <c r="B181" s="47" t="s">
        <v>994</v>
      </c>
      <c r="C181" s="46" t="s">
        <v>995</v>
      </c>
      <c r="D181" s="46" t="s">
        <v>996</v>
      </c>
      <c r="E181" s="48" t="s">
        <v>997</v>
      </c>
      <c r="F181" s="47" t="s">
        <v>998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/>
      <c r="U181" s="3"/>
      <c r="V181" s="3"/>
      <c r="W181" s="3"/>
      <c r="X181" s="3"/>
      <c r="Y181" s="3"/>
      <c r="Z181" s="3"/>
    </row>
    <row r="182" ht="18.75" customHeight="1">
      <c r="A182" s="46" t="s">
        <v>999</v>
      </c>
      <c r="B182" s="47" t="s">
        <v>1000</v>
      </c>
      <c r="C182" s="46" t="s">
        <v>1001</v>
      </c>
      <c r="D182" s="46" t="s">
        <v>1002</v>
      </c>
      <c r="E182" s="48" t="s">
        <v>1003</v>
      </c>
      <c r="F182" s="47" t="s">
        <v>1004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3"/>
      <c r="U182" s="3"/>
      <c r="V182" s="3"/>
      <c r="W182" s="3"/>
      <c r="X182" s="3"/>
      <c r="Y182" s="3"/>
      <c r="Z182" s="3"/>
    </row>
    <row r="183" ht="18.75" customHeight="1">
      <c r="A183" s="46" t="s">
        <v>1005</v>
      </c>
      <c r="B183" s="47" t="s">
        <v>1006</v>
      </c>
      <c r="C183" s="46" t="s">
        <v>1007</v>
      </c>
      <c r="D183" s="46" t="s">
        <v>1008</v>
      </c>
      <c r="E183" s="48" t="s">
        <v>1009</v>
      </c>
      <c r="F183" s="47" t="s">
        <v>1010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3"/>
      <c r="U183" s="3"/>
      <c r="V183" s="3"/>
      <c r="W183" s="3"/>
      <c r="X183" s="3"/>
      <c r="Y183" s="3"/>
      <c r="Z183" s="3"/>
    </row>
    <row r="184" ht="18.75" customHeight="1">
      <c r="A184" s="46" t="s">
        <v>1011</v>
      </c>
      <c r="B184" s="47" t="s">
        <v>1012</v>
      </c>
      <c r="C184" s="46" t="s">
        <v>1013</v>
      </c>
      <c r="D184" s="46" t="s">
        <v>711</v>
      </c>
      <c r="E184" s="48" t="s">
        <v>1014</v>
      </c>
      <c r="F184" s="47" t="s">
        <v>1015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3"/>
      <c r="U184" s="3"/>
      <c r="V184" s="3"/>
      <c r="W184" s="3"/>
      <c r="X184" s="3"/>
      <c r="Y184" s="3"/>
      <c r="Z184" s="3"/>
    </row>
    <row r="185" ht="18.75" customHeight="1">
      <c r="A185" s="46" t="s">
        <v>1016</v>
      </c>
      <c r="B185" s="47" t="s">
        <v>1017</v>
      </c>
      <c r="C185" s="46" t="s">
        <v>1018</v>
      </c>
      <c r="D185" s="46" t="s">
        <v>711</v>
      </c>
      <c r="E185" s="48" t="s">
        <v>1019</v>
      </c>
      <c r="F185" s="47" t="s">
        <v>1020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3"/>
      <c r="U185" s="3"/>
      <c r="V185" s="3"/>
      <c r="W185" s="3"/>
      <c r="X185" s="3"/>
      <c r="Y185" s="3"/>
      <c r="Z185" s="3"/>
    </row>
    <row r="186" ht="18.75" customHeight="1">
      <c r="A186" s="46" t="s">
        <v>1021</v>
      </c>
      <c r="B186" s="47" t="s">
        <v>1022</v>
      </c>
      <c r="C186" s="46" t="s">
        <v>1023</v>
      </c>
      <c r="D186" s="46" t="s">
        <v>659</v>
      </c>
      <c r="E186" s="48" t="s">
        <v>1024</v>
      </c>
      <c r="F186" s="47" t="s">
        <v>1025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3"/>
      <c r="U186" s="3"/>
      <c r="V186" s="3"/>
      <c r="W186" s="3"/>
      <c r="X186" s="3"/>
      <c r="Y186" s="3"/>
      <c r="Z186" s="3"/>
    </row>
    <row r="187" ht="18.75" customHeight="1">
      <c r="A187" s="46" t="s">
        <v>1026</v>
      </c>
      <c r="B187" s="47" t="s">
        <v>1027</v>
      </c>
      <c r="C187" s="46" t="s">
        <v>1028</v>
      </c>
      <c r="D187" s="46" t="s">
        <v>1029</v>
      </c>
      <c r="E187" s="48" t="s">
        <v>1030</v>
      </c>
      <c r="F187" s="50" t="s">
        <v>1031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3"/>
      <c r="V187" s="3"/>
      <c r="W187" s="3"/>
      <c r="X187" s="3"/>
      <c r="Y187" s="3"/>
      <c r="Z187" s="3"/>
    </row>
    <row r="188" ht="18.75" customHeight="1">
      <c r="A188" s="46" t="s">
        <v>1032</v>
      </c>
      <c r="B188" s="47" t="s">
        <v>1033</v>
      </c>
      <c r="C188" s="46" t="s">
        <v>1034</v>
      </c>
      <c r="D188" s="46" t="s">
        <v>1035</v>
      </c>
      <c r="E188" s="48" t="s">
        <v>1036</v>
      </c>
      <c r="F188" s="47" t="s">
        <v>1037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3"/>
      <c r="U188" s="3"/>
      <c r="V188" s="3"/>
      <c r="W188" s="3"/>
      <c r="X188" s="3"/>
      <c r="Y188" s="3"/>
      <c r="Z188" s="3"/>
    </row>
    <row r="189" ht="18.75" customHeight="1">
      <c r="A189" s="46" t="s">
        <v>1038</v>
      </c>
      <c r="B189" s="47" t="s">
        <v>1039</v>
      </c>
      <c r="C189" s="46" t="s">
        <v>1040</v>
      </c>
      <c r="D189" s="46" t="s">
        <v>711</v>
      </c>
      <c r="E189" s="48" t="s">
        <v>1041</v>
      </c>
      <c r="F189" s="47" t="s">
        <v>1042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3"/>
      <c r="V189" s="3"/>
      <c r="W189" s="3"/>
      <c r="X189" s="3"/>
      <c r="Y189" s="3"/>
      <c r="Z189" s="3"/>
    </row>
    <row r="190" ht="18.75" customHeight="1">
      <c r="A190" s="46" t="s">
        <v>1043</v>
      </c>
      <c r="B190" s="47" t="s">
        <v>1044</v>
      </c>
      <c r="C190" s="46" t="s">
        <v>1045</v>
      </c>
      <c r="D190" s="46" t="s">
        <v>1046</v>
      </c>
      <c r="E190" s="48" t="s">
        <v>1047</v>
      </c>
      <c r="F190" s="47" t="s">
        <v>1048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3"/>
      <c r="U190" s="3"/>
      <c r="V190" s="3"/>
      <c r="W190" s="3"/>
      <c r="X190" s="3"/>
      <c r="Y190" s="3"/>
      <c r="Z190" s="3"/>
    </row>
    <row r="191" ht="18.75" customHeight="1">
      <c r="A191" s="46" t="s">
        <v>1049</v>
      </c>
      <c r="B191" s="47" t="s">
        <v>1050</v>
      </c>
      <c r="C191" s="46" t="s">
        <v>1051</v>
      </c>
      <c r="D191" s="46" t="s">
        <v>1052</v>
      </c>
      <c r="E191" s="48" t="s">
        <v>1053</v>
      </c>
      <c r="F191" s="47" t="s">
        <v>1054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3"/>
      <c r="U191" s="3"/>
      <c r="V191" s="3"/>
      <c r="W191" s="3"/>
      <c r="X191" s="3"/>
      <c r="Y191" s="3"/>
      <c r="Z191" s="3"/>
    </row>
    <row r="192" ht="18.75" customHeight="1">
      <c r="A192" s="46" t="s">
        <v>1055</v>
      </c>
      <c r="B192" s="47" t="s">
        <v>1056</v>
      </c>
      <c r="C192" s="46" t="s">
        <v>1057</v>
      </c>
      <c r="D192" s="46" t="s">
        <v>1058</v>
      </c>
      <c r="E192" s="49">
        <v>3.344777681E9</v>
      </c>
      <c r="F192" s="47" t="s">
        <v>1059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3"/>
      <c r="U192" s="3"/>
      <c r="V192" s="3"/>
      <c r="W192" s="3"/>
      <c r="X192" s="3"/>
      <c r="Y192" s="3"/>
      <c r="Z192" s="3"/>
    </row>
    <row r="193" ht="18.75" customHeight="1">
      <c r="A193" s="46" t="s">
        <v>1060</v>
      </c>
      <c r="B193" s="47" t="s">
        <v>1061</v>
      </c>
      <c r="C193" s="46" t="s">
        <v>1062</v>
      </c>
      <c r="D193" s="46" t="s">
        <v>1035</v>
      </c>
      <c r="E193" s="48" t="s">
        <v>1063</v>
      </c>
      <c r="F193" s="47" t="s">
        <v>1064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3"/>
      <c r="U193" s="3"/>
      <c r="V193" s="3"/>
      <c r="W193" s="3"/>
      <c r="X193" s="3"/>
      <c r="Y193" s="3"/>
      <c r="Z193" s="3"/>
    </row>
    <row r="194" ht="18.75" customHeight="1">
      <c r="A194" s="46" t="s">
        <v>1065</v>
      </c>
      <c r="B194" s="47" t="s">
        <v>1066</v>
      </c>
      <c r="C194" s="46" t="s">
        <v>1067</v>
      </c>
      <c r="D194" s="46" t="s">
        <v>1068</v>
      </c>
      <c r="E194" s="48" t="s">
        <v>1069</v>
      </c>
      <c r="F194" s="47" t="s">
        <v>1070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3"/>
      <c r="U194" s="3"/>
      <c r="V194" s="3"/>
      <c r="W194" s="3"/>
      <c r="X194" s="3"/>
      <c r="Y194" s="3"/>
      <c r="Z194" s="3"/>
    </row>
    <row r="195" ht="18.75" customHeight="1">
      <c r="A195" s="46" t="s">
        <v>1071</v>
      </c>
      <c r="B195" s="47" t="s">
        <v>1072</v>
      </c>
      <c r="C195" s="46" t="s">
        <v>1073</v>
      </c>
      <c r="D195" s="46" t="s">
        <v>659</v>
      </c>
      <c r="E195" s="48" t="s">
        <v>1074</v>
      </c>
      <c r="F195" s="51" t="s">
        <v>1075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3"/>
      <c r="U195" s="3"/>
      <c r="V195" s="3"/>
      <c r="W195" s="3"/>
      <c r="X195" s="3"/>
      <c r="Y195" s="3"/>
      <c r="Z195" s="3"/>
    </row>
    <row r="196" ht="18.75" customHeight="1">
      <c r="A196" s="46" t="s">
        <v>1076</v>
      </c>
      <c r="B196" s="47" t="s">
        <v>1077</v>
      </c>
      <c r="C196" s="46" t="s">
        <v>1078</v>
      </c>
      <c r="D196" s="46" t="s">
        <v>1079</v>
      </c>
      <c r="E196" s="49">
        <v>3.867951302E9</v>
      </c>
      <c r="F196" s="47" t="s">
        <v>1080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  <c r="U196" s="3"/>
      <c r="V196" s="3"/>
      <c r="W196" s="3"/>
      <c r="X196" s="3"/>
      <c r="Y196" s="3"/>
      <c r="Z196" s="3"/>
    </row>
    <row r="197" ht="18.75" customHeight="1">
      <c r="A197" s="46" t="s">
        <v>1081</v>
      </c>
      <c r="B197" s="47" t="s">
        <v>1082</v>
      </c>
      <c r="C197" s="46" t="s">
        <v>1083</v>
      </c>
      <c r="D197" s="46" t="s">
        <v>1084</v>
      </c>
      <c r="E197" s="48" t="s">
        <v>1085</v>
      </c>
      <c r="F197" s="47" t="s">
        <v>1086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3"/>
      <c r="U197" s="3"/>
      <c r="V197" s="3"/>
      <c r="W197" s="3"/>
      <c r="X197" s="3"/>
      <c r="Y197" s="3"/>
      <c r="Z197" s="3"/>
    </row>
    <row r="198" ht="18.75" customHeight="1">
      <c r="A198" s="46" t="s">
        <v>1087</v>
      </c>
      <c r="B198" s="47" t="s">
        <v>1088</v>
      </c>
      <c r="C198" s="46" t="s">
        <v>1089</v>
      </c>
      <c r="D198" s="46" t="s">
        <v>1090</v>
      </c>
      <c r="E198" s="48" t="s">
        <v>1091</v>
      </c>
      <c r="F198" s="47" t="s">
        <v>1092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3"/>
      <c r="U198" s="3"/>
      <c r="V198" s="3"/>
      <c r="W198" s="3"/>
      <c r="X198" s="3"/>
      <c r="Y198" s="3"/>
      <c r="Z198" s="3"/>
    </row>
    <row r="199" ht="18.75" customHeight="1">
      <c r="A199" s="46" t="s">
        <v>1093</v>
      </c>
      <c r="B199" s="47" t="s">
        <v>1094</v>
      </c>
      <c r="C199" s="46" t="s">
        <v>1095</v>
      </c>
      <c r="D199" s="46" t="s">
        <v>766</v>
      </c>
      <c r="E199" s="48" t="s">
        <v>1096</v>
      </c>
      <c r="F199" s="47" t="s">
        <v>1097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3"/>
      <c r="U199" s="3"/>
      <c r="V199" s="3"/>
      <c r="W199" s="3"/>
      <c r="X199" s="3"/>
      <c r="Y199" s="3"/>
      <c r="Z199" s="3"/>
    </row>
    <row r="200" ht="18.75" customHeight="1">
      <c r="A200" s="46" t="s">
        <v>1098</v>
      </c>
      <c r="B200" s="47" t="s">
        <v>1099</v>
      </c>
      <c r="C200" s="46" t="s">
        <v>1100</v>
      </c>
      <c r="D200" s="46" t="s">
        <v>766</v>
      </c>
      <c r="E200" s="48" t="s">
        <v>1101</v>
      </c>
      <c r="F200" s="47" t="s">
        <v>1102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3"/>
      <c r="U200" s="3"/>
      <c r="V200" s="3"/>
      <c r="W200" s="3"/>
      <c r="X200" s="3"/>
      <c r="Y200" s="3"/>
      <c r="Z200" s="3"/>
    </row>
    <row r="201" ht="18.75" customHeight="1">
      <c r="A201" s="46" t="s">
        <v>1103</v>
      </c>
      <c r="B201" s="47" t="s">
        <v>1104</v>
      </c>
      <c r="C201" s="46" t="s">
        <v>1105</v>
      </c>
      <c r="D201" s="46" t="s">
        <v>1106</v>
      </c>
      <c r="E201" s="49">
        <v>1.7704098522E10</v>
      </c>
      <c r="F201" s="47" t="s">
        <v>1107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3"/>
      <c r="U201" s="3"/>
      <c r="V201" s="3"/>
      <c r="W201" s="3"/>
      <c r="X201" s="3"/>
      <c r="Y201" s="3"/>
      <c r="Z201" s="3"/>
    </row>
    <row r="202" ht="18.75" customHeight="1">
      <c r="A202" s="46" t="s">
        <v>1108</v>
      </c>
      <c r="B202" s="47" t="s">
        <v>1109</v>
      </c>
      <c r="C202" s="46" t="s">
        <v>1110</v>
      </c>
      <c r="D202" s="46" t="s">
        <v>659</v>
      </c>
      <c r="E202" s="48" t="s">
        <v>1111</v>
      </c>
      <c r="F202" s="47" t="s">
        <v>1112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3"/>
      <c r="U202" s="3"/>
      <c r="V202" s="3"/>
      <c r="W202" s="3"/>
      <c r="X202" s="3"/>
      <c r="Y202" s="3"/>
      <c r="Z202" s="3"/>
    </row>
    <row r="203" ht="18.75" customHeight="1">
      <c r="A203" s="46" t="s">
        <v>1113</v>
      </c>
      <c r="B203" s="47" t="s">
        <v>1114</v>
      </c>
      <c r="C203" s="46" t="s">
        <v>1115</v>
      </c>
      <c r="D203" s="46" t="s">
        <v>1116</v>
      </c>
      <c r="E203" s="48" t="s">
        <v>1117</v>
      </c>
      <c r="F203" s="47" t="s">
        <v>1118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3"/>
      <c r="U203" s="3"/>
      <c r="V203" s="3"/>
      <c r="W203" s="3"/>
      <c r="X203" s="3"/>
      <c r="Y203" s="3"/>
      <c r="Z203" s="3"/>
    </row>
    <row r="204" ht="18.75" customHeight="1">
      <c r="A204" s="52" t="s">
        <v>1119</v>
      </c>
      <c r="B204" s="46" t="s">
        <v>1120</v>
      </c>
      <c r="C204" s="52" t="s">
        <v>1121</v>
      </c>
      <c r="D204" s="52" t="s">
        <v>1122</v>
      </c>
      <c r="E204" s="48" t="s">
        <v>1123</v>
      </c>
      <c r="F204" s="46" t="s">
        <v>1124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3"/>
    </row>
    <row r="205" ht="18.75" customHeight="1">
      <c r="A205" s="43" t="s">
        <v>1125</v>
      </c>
      <c r="B205" s="43" t="s">
        <v>1126</v>
      </c>
      <c r="C205" s="43" t="s">
        <v>1127</v>
      </c>
      <c r="D205" s="43" t="s">
        <v>285</v>
      </c>
      <c r="E205" s="46"/>
      <c r="F205" s="43" t="s">
        <v>1128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3"/>
    </row>
    <row r="206" ht="18.75" customHeight="1">
      <c r="A206" s="46" t="s">
        <v>1129</v>
      </c>
      <c r="B206" s="47" t="s">
        <v>1130</v>
      </c>
      <c r="C206" s="46" t="s">
        <v>1131</v>
      </c>
      <c r="D206" s="46" t="s">
        <v>154</v>
      </c>
      <c r="E206" s="2"/>
      <c r="F206" s="53" t="s">
        <v>1132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3"/>
    </row>
    <row r="207">
      <c r="A207" s="54" t="s">
        <v>6</v>
      </c>
      <c r="B207" s="55" t="s">
        <v>1133</v>
      </c>
      <c r="C207" s="56" t="s">
        <v>8</v>
      </c>
      <c r="D207" s="57" t="s">
        <v>9</v>
      </c>
      <c r="E207" s="58">
        <v>1.6178906064E10</v>
      </c>
      <c r="F207" s="59" t="s">
        <v>10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3"/>
    </row>
    <row r="208">
      <c r="A208" s="54" t="s">
        <v>11</v>
      </c>
      <c r="B208" s="55" t="s">
        <v>1134</v>
      </c>
      <c r="C208" s="60" t="s">
        <v>13</v>
      </c>
      <c r="D208" s="61" t="s">
        <v>14</v>
      </c>
      <c r="E208" s="62" t="s">
        <v>15</v>
      </c>
      <c r="F208" s="63" t="s">
        <v>16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3"/>
      <c r="U208" s="3"/>
      <c r="V208" s="3"/>
      <c r="W208" s="3"/>
      <c r="X208" s="3"/>
      <c r="Y208" s="3"/>
      <c r="Z208" s="3"/>
    </row>
    <row r="209">
      <c r="A209" s="54" t="s">
        <v>17</v>
      </c>
      <c r="B209" s="55" t="s">
        <v>1135</v>
      </c>
      <c r="C209" s="54" t="s">
        <v>19</v>
      </c>
      <c r="D209" s="64" t="s">
        <v>20</v>
      </c>
      <c r="E209" s="65" t="s">
        <v>21</v>
      </c>
      <c r="F209" s="61" t="s">
        <v>22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"/>
      <c r="U209" s="3"/>
      <c r="V209" s="3"/>
      <c r="W209" s="3"/>
      <c r="X209" s="3"/>
      <c r="Y209" s="3"/>
      <c r="Z209" s="3"/>
    </row>
    <row r="210">
      <c r="A210" s="59" t="s">
        <v>23</v>
      </c>
      <c r="B210" s="55" t="s">
        <v>1136</v>
      </c>
      <c r="C210" s="54" t="s">
        <v>25</v>
      </c>
      <c r="D210" s="66" t="s">
        <v>26</v>
      </c>
      <c r="E210" s="67" t="s">
        <v>27</v>
      </c>
      <c r="F210" s="59" t="s">
        <v>28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3"/>
      <c r="U210" s="3"/>
      <c r="V210" s="3"/>
      <c r="W210" s="3"/>
      <c r="X210" s="3"/>
      <c r="Y210" s="3"/>
      <c r="Z210" s="3"/>
    </row>
    <row r="211">
      <c r="A211" s="59" t="s">
        <v>29</v>
      </c>
      <c r="B211" s="55" t="s">
        <v>1137</v>
      </c>
      <c r="C211" s="54" t="s">
        <v>31</v>
      </c>
      <c r="D211" s="68" t="s">
        <v>32</v>
      </c>
      <c r="E211" s="69">
        <v>1.6262311183E10</v>
      </c>
      <c r="F211" s="59" t="s">
        <v>33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3"/>
      <c r="U211" s="3"/>
      <c r="V211" s="3"/>
      <c r="W211" s="3"/>
      <c r="X211" s="3"/>
      <c r="Y211" s="3"/>
      <c r="Z211" s="3"/>
    </row>
    <row r="212">
      <c r="A212" s="59" t="s">
        <v>34</v>
      </c>
      <c r="B212" s="55" t="s">
        <v>1138</v>
      </c>
      <c r="C212" s="54" t="s">
        <v>36</v>
      </c>
      <c r="D212" s="68" t="s">
        <v>37</v>
      </c>
      <c r="E212" s="70">
        <v>9.1983E11</v>
      </c>
      <c r="F212" s="59" t="s">
        <v>38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3"/>
      <c r="U212" s="3"/>
      <c r="V212" s="3"/>
      <c r="W212" s="3"/>
      <c r="X212" s="3"/>
      <c r="Y212" s="3"/>
      <c r="Z212" s="3"/>
    </row>
    <row r="213">
      <c r="A213" s="59" t="s">
        <v>39</v>
      </c>
      <c r="B213" s="55" t="s">
        <v>1139</v>
      </c>
      <c r="C213" s="54" t="s">
        <v>1140</v>
      </c>
      <c r="D213" s="56" t="s">
        <v>42</v>
      </c>
      <c r="E213" s="71">
        <v>9.19872E11</v>
      </c>
      <c r="F213" s="72" t="s">
        <v>43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3"/>
      <c r="U213" s="3"/>
      <c r="V213" s="3"/>
      <c r="W213" s="3"/>
      <c r="X213" s="3"/>
      <c r="Y213" s="3"/>
      <c r="Z213" s="3"/>
    </row>
    <row r="214">
      <c r="A214" s="59" t="s">
        <v>44</v>
      </c>
      <c r="B214" s="55" t="s">
        <v>1141</v>
      </c>
      <c r="C214" s="73" t="s">
        <v>46</v>
      </c>
      <c r="D214" s="54" t="s">
        <v>47</v>
      </c>
      <c r="E214" s="74">
        <v>1.9176508985E10</v>
      </c>
      <c r="F214" s="66" t="s">
        <v>48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3"/>
      <c r="U214" s="3"/>
      <c r="V214" s="3"/>
      <c r="W214" s="3"/>
      <c r="X214" s="3"/>
      <c r="Y214" s="3"/>
      <c r="Z214" s="3"/>
    </row>
    <row r="215">
      <c r="A215" s="59" t="s">
        <v>49</v>
      </c>
      <c r="B215" s="55" t="s">
        <v>1142</v>
      </c>
      <c r="C215" s="54" t="s">
        <v>51</v>
      </c>
      <c r="D215" s="66" t="s">
        <v>52</v>
      </c>
      <c r="E215" s="54" t="s">
        <v>53</v>
      </c>
      <c r="F215" s="59" t="s">
        <v>54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3"/>
      <c r="U215" s="3"/>
      <c r="V215" s="3"/>
      <c r="W215" s="3"/>
      <c r="X215" s="3"/>
      <c r="Y215" s="3"/>
      <c r="Z215" s="3"/>
    </row>
    <row r="216">
      <c r="A216" s="54" t="s">
        <v>55</v>
      </c>
      <c r="B216" s="55" t="s">
        <v>1143</v>
      </c>
      <c r="C216" s="54" t="s">
        <v>57</v>
      </c>
      <c r="D216" s="59" t="s">
        <v>58</v>
      </c>
      <c r="E216" s="54" t="s">
        <v>59</v>
      </c>
      <c r="F216" s="54" t="s">
        <v>60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3"/>
      <c r="U216" s="3"/>
      <c r="V216" s="3"/>
      <c r="W216" s="3"/>
      <c r="X216" s="3"/>
      <c r="Y216" s="3"/>
      <c r="Z216" s="3"/>
    </row>
    <row r="217">
      <c r="A217" s="59" t="s">
        <v>61</v>
      </c>
      <c r="B217" s="55" t="s">
        <v>1144</v>
      </c>
      <c r="C217" s="54" t="s">
        <v>63</v>
      </c>
      <c r="D217" s="59" t="s">
        <v>64</v>
      </c>
      <c r="E217" s="75" t="s">
        <v>65</v>
      </c>
      <c r="F217" s="66" t="s">
        <v>66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3"/>
      <c r="U217" s="3"/>
      <c r="V217" s="3"/>
      <c r="W217" s="3"/>
      <c r="X217" s="3"/>
      <c r="Y217" s="3"/>
      <c r="Z217" s="3"/>
    </row>
    <row r="218">
      <c r="A218" s="59" t="s">
        <v>67</v>
      </c>
      <c r="B218" s="55" t="s">
        <v>1145</v>
      </c>
      <c r="C218" s="54" t="s">
        <v>69</v>
      </c>
      <c r="D218" s="59" t="s">
        <v>70</v>
      </c>
      <c r="E218" s="76" t="s">
        <v>71</v>
      </c>
      <c r="F218" s="76" t="s">
        <v>72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3"/>
      <c r="U218" s="3"/>
      <c r="V218" s="3"/>
      <c r="W218" s="3"/>
      <c r="X218" s="3"/>
      <c r="Y218" s="3"/>
      <c r="Z218" s="3"/>
    </row>
    <row r="219">
      <c r="A219" s="59" t="s">
        <v>73</v>
      </c>
      <c r="B219" s="55" t="s">
        <v>1146</v>
      </c>
      <c r="C219" s="54" t="s">
        <v>75</v>
      </c>
      <c r="D219" s="77"/>
      <c r="E219" s="69">
        <v>7.921323959E10</v>
      </c>
      <c r="F219" s="59" t="s">
        <v>76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3"/>
      <c r="U219" s="3"/>
      <c r="V219" s="3"/>
      <c r="W219" s="3"/>
      <c r="X219" s="3"/>
      <c r="Y219" s="3"/>
      <c r="Z219" s="3"/>
    </row>
    <row r="220">
      <c r="A220" s="54" t="s">
        <v>77</v>
      </c>
      <c r="B220" s="55" t="s">
        <v>1147</v>
      </c>
      <c r="C220" s="76" t="s">
        <v>79</v>
      </c>
      <c r="D220" s="66" t="s">
        <v>80</v>
      </c>
      <c r="E220" s="69">
        <v>1.5162870912E10</v>
      </c>
      <c r="F220" s="59" t="s">
        <v>81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3"/>
      <c r="U220" s="3"/>
      <c r="V220" s="3"/>
      <c r="W220" s="3"/>
      <c r="X220" s="3"/>
      <c r="Y220" s="3"/>
      <c r="Z220" s="3"/>
    </row>
    <row r="221">
      <c r="A221" s="54" t="s">
        <v>82</v>
      </c>
      <c r="B221" s="55" t="s">
        <v>1148</v>
      </c>
      <c r="C221" s="76" t="s">
        <v>84</v>
      </c>
      <c r="D221" s="77"/>
      <c r="E221" s="69">
        <v>1.2125324748E10</v>
      </c>
      <c r="F221" s="7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3"/>
      <c r="U221" s="3"/>
      <c r="V221" s="3"/>
      <c r="W221" s="3"/>
      <c r="X221" s="3"/>
      <c r="Y221" s="3"/>
      <c r="Z221" s="3"/>
    </row>
    <row r="222">
      <c r="A222" s="54" t="s">
        <v>85</v>
      </c>
      <c r="B222" s="55" t="s">
        <v>1149</v>
      </c>
      <c r="C222" s="76" t="s">
        <v>87</v>
      </c>
      <c r="D222" s="68" t="s">
        <v>88</v>
      </c>
      <c r="E222" s="69">
        <v>1.5103658907E10</v>
      </c>
      <c r="F222" s="59" t="s">
        <v>89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3"/>
      <c r="U222" s="3"/>
      <c r="V222" s="3"/>
      <c r="W222" s="3"/>
      <c r="X222" s="3"/>
      <c r="Y222" s="3"/>
      <c r="Z222" s="3"/>
    </row>
    <row r="223">
      <c r="A223" s="54" t="s">
        <v>90</v>
      </c>
      <c r="B223" s="55" t="s">
        <v>1150</v>
      </c>
      <c r="C223" s="78" t="s">
        <v>92</v>
      </c>
      <c r="D223" s="79" t="s">
        <v>93</v>
      </c>
      <c r="E223" s="77" t="str">
        <f>+15168643452 , +15169225112</f>
        <v>#ERROR!</v>
      </c>
      <c r="F223" s="54" t="s">
        <v>95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3"/>
      <c r="U223" s="3"/>
      <c r="V223" s="3"/>
      <c r="W223" s="3"/>
      <c r="X223" s="3"/>
      <c r="Y223" s="3"/>
      <c r="Z223" s="3"/>
    </row>
    <row r="224">
      <c r="A224" s="54" t="s">
        <v>96</v>
      </c>
      <c r="B224" s="55" t="s">
        <v>1151</v>
      </c>
      <c r="C224" s="80" t="s">
        <v>1152</v>
      </c>
      <c r="D224" s="79" t="s">
        <v>99</v>
      </c>
      <c r="E224" s="77">
        <f>+375333787474</f>
        <v>375333787474</v>
      </c>
      <c r="F224" s="54" t="s">
        <v>101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3"/>
      <c r="U224" s="3"/>
      <c r="V224" s="3"/>
      <c r="W224" s="3"/>
      <c r="X224" s="3"/>
      <c r="Y224" s="3"/>
      <c r="Z224" s="3"/>
    </row>
    <row r="225">
      <c r="A225" s="54" t="s">
        <v>102</v>
      </c>
      <c r="B225" s="55" t="s">
        <v>1153</v>
      </c>
      <c r="C225" s="81" t="s">
        <v>104</v>
      </c>
      <c r="D225" s="79" t="s">
        <v>105</v>
      </c>
      <c r="E225" s="77">
        <f>+491726039981</f>
        <v>491726039981</v>
      </c>
      <c r="F225" s="54" t="s">
        <v>107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3"/>
      <c r="U225" s="3"/>
      <c r="V225" s="3"/>
      <c r="W225" s="3"/>
      <c r="X225" s="3"/>
      <c r="Y225" s="3"/>
      <c r="Z225" s="3"/>
    </row>
    <row r="226">
      <c r="A226" s="54" t="s">
        <v>108</v>
      </c>
      <c r="B226" s="55" t="s">
        <v>1154</v>
      </c>
      <c r="C226" s="80" t="s">
        <v>1155</v>
      </c>
      <c r="D226" s="79" t="s">
        <v>111</v>
      </c>
      <c r="E226" s="77">
        <f>+16465200670</f>
        <v>16465200670</v>
      </c>
      <c r="F226" s="54" t="s">
        <v>113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3"/>
      <c r="U226" s="3"/>
      <c r="V226" s="3"/>
      <c r="W226" s="3"/>
      <c r="X226" s="3"/>
      <c r="Y226" s="3"/>
      <c r="Z226" s="3"/>
    </row>
    <row r="227">
      <c r="A227" s="54" t="s">
        <v>114</v>
      </c>
      <c r="B227" s="55" t="s">
        <v>1156</v>
      </c>
      <c r="C227" s="80" t="s">
        <v>1157</v>
      </c>
      <c r="D227" s="79" t="s">
        <v>117</v>
      </c>
      <c r="E227" s="77">
        <f>+48223897898</f>
        <v>48223897898</v>
      </c>
      <c r="F227" s="54" t="s">
        <v>119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3"/>
      <c r="U227" s="3"/>
      <c r="V227" s="3"/>
      <c r="W227" s="3"/>
      <c r="X227" s="3"/>
      <c r="Y227" s="3"/>
      <c r="Z227" s="3"/>
    </row>
    <row r="228">
      <c r="A228" s="54" t="s">
        <v>120</v>
      </c>
      <c r="B228" s="55" t="s">
        <v>1158</v>
      </c>
      <c r="C228" s="82" t="s">
        <v>1159</v>
      </c>
      <c r="D228" s="79" t="s">
        <v>123</v>
      </c>
      <c r="E228" s="77" t="str">
        <f>+19176968126 ,</f>
        <v>#ERROR!</v>
      </c>
      <c r="F228" s="54" t="s">
        <v>125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3"/>
      <c r="U228" s="3"/>
      <c r="V228" s="3"/>
      <c r="W228" s="3"/>
      <c r="X228" s="3"/>
      <c r="Y228" s="3"/>
      <c r="Z228" s="3"/>
    </row>
    <row r="229">
      <c r="A229" s="54" t="s">
        <v>126</v>
      </c>
      <c r="B229" s="55" t="s">
        <v>1160</v>
      </c>
      <c r="C229" s="80" t="s">
        <v>1161</v>
      </c>
      <c r="D229" s="79" t="s">
        <v>129</v>
      </c>
      <c r="E229" s="77">
        <f>+13109991722</f>
        <v>13109991722</v>
      </c>
      <c r="F229" s="83" t="s">
        <v>131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3"/>
      <c r="U229" s="3"/>
      <c r="V229" s="3"/>
      <c r="W229" s="3"/>
      <c r="X229" s="3"/>
      <c r="Y229" s="3"/>
      <c r="Z229" s="3"/>
    </row>
    <row r="230">
      <c r="A230" s="54" t="s">
        <v>132</v>
      </c>
      <c r="B230" s="55" t="s">
        <v>1162</v>
      </c>
      <c r="C230" s="63" t="s">
        <v>134</v>
      </c>
      <c r="D230" s="79" t="s">
        <v>123</v>
      </c>
      <c r="E230" s="69">
        <v>1.3472449664E10</v>
      </c>
      <c r="F230" s="54" t="s">
        <v>135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3"/>
      <c r="U230" s="3"/>
      <c r="V230" s="3"/>
      <c r="W230" s="3"/>
      <c r="X230" s="3"/>
      <c r="Y230" s="3"/>
      <c r="Z230" s="3"/>
    </row>
    <row r="231">
      <c r="A231" s="54" t="s">
        <v>136</v>
      </c>
      <c r="B231" s="55" t="s">
        <v>1163</v>
      </c>
      <c r="C231" s="80" t="s">
        <v>1164</v>
      </c>
      <c r="D231" s="79" t="s">
        <v>123</v>
      </c>
      <c r="E231" s="77">
        <f>+15182818509</f>
        <v>15182818509</v>
      </c>
      <c r="F231" s="54" t="s">
        <v>140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3"/>
      <c r="U231" s="3"/>
      <c r="V231" s="3"/>
      <c r="W231" s="3"/>
      <c r="X231" s="3"/>
      <c r="Y231" s="3"/>
      <c r="Z231" s="3"/>
    </row>
    <row r="232">
      <c r="A232" s="54" t="s">
        <v>141</v>
      </c>
      <c r="B232" s="55" t="s">
        <v>1165</v>
      </c>
      <c r="C232" s="54" t="s">
        <v>143</v>
      </c>
      <c r="D232" s="79" t="s">
        <v>144</v>
      </c>
      <c r="E232" s="84">
        <v>4.47771E11</v>
      </c>
      <c r="F232" s="85" t="s">
        <v>145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3"/>
      <c r="U232" s="3"/>
      <c r="V232" s="3"/>
      <c r="W232" s="3"/>
      <c r="X232" s="3"/>
      <c r="Y232" s="3"/>
      <c r="Z232" s="3"/>
    </row>
    <row r="233">
      <c r="A233" s="54" t="s">
        <v>146</v>
      </c>
      <c r="B233" s="55" t="s">
        <v>1166</v>
      </c>
      <c r="C233" s="86" t="s">
        <v>148</v>
      </c>
      <c r="D233" s="79" t="s">
        <v>123</v>
      </c>
      <c r="E233" s="77" t="str">
        <f>+12122275951 , +12393146426</f>
        <v>#ERROR!</v>
      </c>
      <c r="F233" s="54" t="s">
        <v>150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3"/>
      <c r="U233" s="3"/>
      <c r="V233" s="3"/>
      <c r="W233" s="3"/>
      <c r="X233" s="3"/>
      <c r="Y233" s="3"/>
      <c r="Z233" s="3"/>
    </row>
    <row r="234">
      <c r="A234" s="54" t="s">
        <v>151</v>
      </c>
      <c r="B234" s="55" t="s">
        <v>1167</v>
      </c>
      <c r="C234" s="54" t="s">
        <v>153</v>
      </c>
      <c r="D234" s="79" t="s">
        <v>154</v>
      </c>
      <c r="E234" s="77">
        <f>+16467655596</f>
        <v>16467655596</v>
      </c>
      <c r="F234" s="54" t="s">
        <v>156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3"/>
      <c r="U234" s="3"/>
      <c r="V234" s="3"/>
      <c r="W234" s="3"/>
      <c r="X234" s="3"/>
      <c r="Y234" s="3"/>
      <c r="Z234" s="3"/>
    </row>
    <row r="235">
      <c r="A235" s="54" t="s">
        <v>157</v>
      </c>
      <c r="B235" s="54" t="s">
        <v>158</v>
      </c>
      <c r="C235" s="54" t="s">
        <v>159</v>
      </c>
      <c r="D235" s="79" t="s">
        <v>123</v>
      </c>
      <c r="E235" s="69">
        <v>1.415691159E10</v>
      </c>
      <c r="F235" s="61" t="s">
        <v>160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3"/>
      <c r="U235" s="3"/>
      <c r="V235" s="3"/>
      <c r="W235" s="3"/>
      <c r="X235" s="3"/>
      <c r="Y235" s="3"/>
      <c r="Z235" s="3"/>
    </row>
    <row r="236">
      <c r="A236" s="54" t="s">
        <v>161</v>
      </c>
      <c r="B236" s="55" t="s">
        <v>1168</v>
      </c>
      <c r="C236" s="54" t="s">
        <v>163</v>
      </c>
      <c r="D236" s="79" t="s">
        <v>123</v>
      </c>
      <c r="E236" s="77" t="str">
        <f>+13038087207 , +13036342285</f>
        <v>#ERROR!</v>
      </c>
      <c r="F236" s="54" t="s">
        <v>165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3"/>
      <c r="U236" s="3"/>
      <c r="V236" s="3"/>
      <c r="W236" s="3"/>
      <c r="X236" s="3"/>
      <c r="Y236" s="3"/>
      <c r="Z236" s="3"/>
    </row>
    <row r="237">
      <c r="A237" s="54" t="s">
        <v>166</v>
      </c>
      <c r="B237" s="55" t="s">
        <v>1169</v>
      </c>
      <c r="C237" s="54" t="s">
        <v>168</v>
      </c>
      <c r="D237" s="79" t="s">
        <v>169</v>
      </c>
      <c r="E237" s="77" t="str">
        <f>+16127013124 , +16516460696</f>
        <v>#ERROR!</v>
      </c>
      <c r="F237" s="54" t="s">
        <v>171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3"/>
      <c r="U237" s="3"/>
      <c r="V237" s="3"/>
      <c r="W237" s="3"/>
      <c r="X237" s="3"/>
      <c r="Y237" s="3"/>
      <c r="Z237" s="3"/>
    </row>
    <row r="238">
      <c r="A238" s="54" t="s">
        <v>172</v>
      </c>
      <c r="B238" s="55" t="s">
        <v>1170</v>
      </c>
      <c r="C238" s="54" t="s">
        <v>174</v>
      </c>
      <c r="D238" s="79" t="s">
        <v>175</v>
      </c>
      <c r="E238" s="77">
        <f>+18562149993</f>
        <v>18562149993</v>
      </c>
      <c r="F238" s="54" t="s">
        <v>177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3"/>
      <c r="U238" s="3"/>
      <c r="V238" s="3"/>
      <c r="W238" s="3"/>
      <c r="X238" s="3"/>
      <c r="Y238" s="3"/>
      <c r="Z238" s="3"/>
    </row>
    <row r="239">
      <c r="A239" s="54" t="s">
        <v>178</v>
      </c>
      <c r="B239" s="55" t="s">
        <v>1171</v>
      </c>
      <c r="C239" s="63" t="s">
        <v>180</v>
      </c>
      <c r="D239" s="79" t="s">
        <v>181</v>
      </c>
      <c r="E239" s="77">
        <f>+19492542609</f>
        <v>19492542609</v>
      </c>
      <c r="F239" s="87" t="s">
        <v>183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3"/>
      <c r="U239" s="3"/>
      <c r="V239" s="3"/>
      <c r="W239" s="3"/>
      <c r="X239" s="3"/>
      <c r="Y239" s="3"/>
      <c r="Z239" s="3"/>
    </row>
    <row r="240">
      <c r="A240" s="54" t="s">
        <v>184</v>
      </c>
      <c r="B240" s="55" t="s">
        <v>1172</v>
      </c>
      <c r="C240" s="54" t="s">
        <v>186</v>
      </c>
      <c r="D240" s="79" t="s">
        <v>93</v>
      </c>
      <c r="E240" s="77">
        <f>+16465418505</f>
        <v>16465418505</v>
      </c>
      <c r="F240" s="54" t="s">
        <v>188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/>
      <c r="U240" s="3"/>
      <c r="V240" s="3"/>
      <c r="W240" s="3"/>
      <c r="X240" s="3"/>
      <c r="Y240" s="3"/>
      <c r="Z240" s="3"/>
    </row>
    <row r="241">
      <c r="A241" s="54" t="s">
        <v>189</v>
      </c>
      <c r="B241" s="55" t="s">
        <v>1173</v>
      </c>
      <c r="C241" s="54" t="s">
        <v>191</v>
      </c>
      <c r="D241" s="79" t="s">
        <v>192</v>
      </c>
      <c r="E241" s="77">
        <f>+44.2073947234</f>
        <v>44.20739472</v>
      </c>
      <c r="F241" s="54" t="s">
        <v>194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3"/>
      <c r="V241" s="3"/>
      <c r="W241" s="3"/>
      <c r="X241" s="3"/>
      <c r="Y241" s="3"/>
      <c r="Z241" s="3"/>
    </row>
    <row r="242">
      <c r="A242" s="54" t="s">
        <v>195</v>
      </c>
      <c r="B242" s="54" t="s">
        <v>196</v>
      </c>
      <c r="C242" s="54" t="s">
        <v>197</v>
      </c>
      <c r="D242" s="79" t="s">
        <v>198</v>
      </c>
      <c r="E242" s="77" t="str">
        <f>+13059868147 , +380637704615</f>
        <v>#ERROR!</v>
      </c>
      <c r="F242" s="54" t="s">
        <v>200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3"/>
      <c r="U242" s="3"/>
      <c r="V242" s="3"/>
      <c r="W242" s="3"/>
      <c r="X242" s="3"/>
      <c r="Y242" s="3"/>
      <c r="Z242" s="3"/>
    </row>
    <row r="243">
      <c r="A243" s="54" t="s">
        <v>201</v>
      </c>
      <c r="B243" s="55" t="s">
        <v>1174</v>
      </c>
      <c r="C243" s="80" t="s">
        <v>1175</v>
      </c>
      <c r="D243" s="79" t="s">
        <v>204</v>
      </c>
      <c r="E243" s="77" t="str">
        <f>+12039793131 , 203-353-0783</f>
        <v>#ERROR!</v>
      </c>
      <c r="F243" s="54" t="s">
        <v>206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3"/>
      <c r="U243" s="3"/>
      <c r="V243" s="3"/>
      <c r="W243" s="3"/>
      <c r="X243" s="3"/>
      <c r="Y243" s="3"/>
      <c r="Z243" s="3"/>
    </row>
    <row r="244">
      <c r="A244" s="54" t="s">
        <v>207</v>
      </c>
      <c r="B244" s="55" t="s">
        <v>1176</v>
      </c>
      <c r="C244" s="88" t="s">
        <v>209</v>
      </c>
      <c r="D244" s="79" t="s">
        <v>210</v>
      </c>
      <c r="E244" s="77">
        <f>+380674686808</f>
        <v>380674686808</v>
      </c>
      <c r="F244" s="54" t="s">
        <v>212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3"/>
      <c r="U244" s="3"/>
      <c r="V244" s="3"/>
      <c r="W244" s="3"/>
      <c r="X244" s="3"/>
      <c r="Y244" s="3"/>
      <c r="Z244" s="3"/>
    </row>
    <row r="245">
      <c r="A245" s="54" t="s">
        <v>213</v>
      </c>
      <c r="B245" s="54" t="s">
        <v>214</v>
      </c>
      <c r="C245" s="54" t="s">
        <v>215</v>
      </c>
      <c r="D245" s="79" t="s">
        <v>216</v>
      </c>
      <c r="E245" s="77">
        <f>+50688222018</f>
        <v>50688222018</v>
      </c>
      <c r="F245" s="54" t="s">
        <v>218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3"/>
      <c r="U245" s="3"/>
      <c r="V245" s="3"/>
      <c r="W245" s="3"/>
      <c r="X245" s="3"/>
      <c r="Y245" s="3"/>
      <c r="Z245" s="3"/>
    </row>
    <row r="246">
      <c r="A246" s="54" t="s">
        <v>219</v>
      </c>
      <c r="B246" s="55" t="s">
        <v>1177</v>
      </c>
      <c r="C246" s="80" t="s">
        <v>1178</v>
      </c>
      <c r="D246" s="79" t="s">
        <v>222</v>
      </c>
      <c r="E246" s="77">
        <f>+13134444529</f>
        <v>13134444529</v>
      </c>
      <c r="F246" s="89" t="s">
        <v>1179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3"/>
      <c r="U246" s="3"/>
      <c r="V246" s="3"/>
      <c r="W246" s="3"/>
      <c r="X246" s="3"/>
      <c r="Y246" s="3"/>
      <c r="Z246" s="3"/>
    </row>
    <row r="247">
      <c r="A247" s="54" t="s">
        <v>225</v>
      </c>
      <c r="B247" s="55" t="s">
        <v>1180</v>
      </c>
      <c r="C247" s="80" t="s">
        <v>1181</v>
      </c>
      <c r="D247" s="79" t="s">
        <v>228</v>
      </c>
      <c r="E247" s="77">
        <f>+17792439412</f>
        <v>17792439412</v>
      </c>
      <c r="F247" s="85" t="s">
        <v>230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  <c r="U247" s="3"/>
      <c r="V247" s="3"/>
      <c r="W247" s="3"/>
      <c r="X247" s="3"/>
      <c r="Y247" s="3"/>
      <c r="Z247" s="3"/>
    </row>
    <row r="248">
      <c r="A248" s="54" t="s">
        <v>231</v>
      </c>
      <c r="B248" s="55" t="s">
        <v>1182</v>
      </c>
      <c r="C248" s="54" t="s">
        <v>233</v>
      </c>
      <c r="D248" s="79" t="s">
        <v>234</v>
      </c>
      <c r="E248" s="77">
        <f>+16155925553</f>
        <v>16155925553</v>
      </c>
      <c r="F248" s="85" t="s">
        <v>236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3"/>
      <c r="U248" s="3"/>
      <c r="V248" s="3"/>
      <c r="W248" s="3"/>
      <c r="X248" s="3"/>
      <c r="Y248" s="3"/>
      <c r="Z248" s="3"/>
    </row>
    <row r="249">
      <c r="A249" s="54" t="s">
        <v>237</v>
      </c>
      <c r="B249" s="55" t="s">
        <v>1183</v>
      </c>
      <c r="C249" s="54" t="s">
        <v>1184</v>
      </c>
      <c r="D249" s="79" t="s">
        <v>240</v>
      </c>
      <c r="E249" s="77">
        <f>+380501570725</f>
        <v>380501570725</v>
      </c>
      <c r="F249" s="85" t="s">
        <v>242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3"/>
      <c r="U249" s="3"/>
      <c r="V249" s="3"/>
      <c r="W249" s="3"/>
      <c r="X249" s="3"/>
      <c r="Y249" s="3"/>
      <c r="Z249" s="3"/>
    </row>
    <row r="250">
      <c r="A250" s="54" t="s">
        <v>243</v>
      </c>
      <c r="B250" s="55" t="s">
        <v>1185</v>
      </c>
      <c r="C250" s="54" t="s">
        <v>245</v>
      </c>
      <c r="D250" s="79" t="s">
        <v>246</v>
      </c>
      <c r="E250" s="77">
        <f>+61402045111</f>
        <v>61402045111</v>
      </c>
      <c r="F250" s="85" t="s">
        <v>248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3"/>
      <c r="U250" s="3"/>
      <c r="V250" s="3"/>
      <c r="W250" s="3"/>
      <c r="X250" s="3"/>
      <c r="Y250" s="3"/>
      <c r="Z250" s="3"/>
    </row>
    <row r="251">
      <c r="A251" s="54" t="s">
        <v>249</v>
      </c>
      <c r="B251" s="55" t="s">
        <v>1186</v>
      </c>
      <c r="C251" s="54" t="s">
        <v>251</v>
      </c>
      <c r="D251" s="79" t="s">
        <v>123</v>
      </c>
      <c r="E251" s="77">
        <f>+16463547771</f>
        <v>16463547771</v>
      </c>
      <c r="F251" s="85" t="s">
        <v>253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3"/>
      <c r="U251" s="3"/>
      <c r="V251" s="3"/>
      <c r="W251" s="3"/>
      <c r="X251" s="3"/>
      <c r="Y251" s="3"/>
      <c r="Z251" s="3"/>
    </row>
    <row r="252">
      <c r="A252" s="54" t="s">
        <v>254</v>
      </c>
      <c r="B252" s="54" t="s">
        <v>255</v>
      </c>
      <c r="C252" s="54" t="s">
        <v>256</v>
      </c>
      <c r="D252" s="79" t="s">
        <v>210</v>
      </c>
      <c r="E252" s="77" t="str">
        <f>+380 67 576 2995</f>
        <v>#ERROR!</v>
      </c>
      <c r="F252" s="85" t="s">
        <v>258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3"/>
      <c r="U252" s="3"/>
      <c r="V252" s="3"/>
      <c r="W252" s="3"/>
      <c r="X252" s="3"/>
      <c r="Y252" s="3"/>
      <c r="Z252" s="3"/>
    </row>
    <row r="253">
      <c r="A253" s="54" t="s">
        <v>259</v>
      </c>
      <c r="B253" s="55" t="s">
        <v>1187</v>
      </c>
      <c r="C253" s="54" t="s">
        <v>261</v>
      </c>
      <c r="D253" s="79" t="s">
        <v>123</v>
      </c>
      <c r="E253" s="77">
        <f>+19175013401</f>
        <v>19175013401</v>
      </c>
      <c r="F253" s="61" t="s">
        <v>263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3"/>
      <c r="U253" s="3"/>
      <c r="V253" s="3"/>
      <c r="W253" s="3"/>
      <c r="X253" s="3"/>
      <c r="Y253" s="3"/>
      <c r="Z253" s="3"/>
    </row>
    <row r="254">
      <c r="A254" s="54" t="s">
        <v>264</v>
      </c>
      <c r="B254" s="55" t="s">
        <v>1188</v>
      </c>
      <c r="C254" s="54" t="s">
        <v>1189</v>
      </c>
      <c r="D254" s="79" t="s">
        <v>267</v>
      </c>
      <c r="E254" s="77" t="str">
        <f>+1 716-930-2984</f>
        <v>#ERROR!</v>
      </c>
      <c r="F254" s="83" t="s">
        <v>269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3"/>
      <c r="U254" s="3"/>
      <c r="V254" s="3"/>
      <c r="W254" s="3"/>
      <c r="X254" s="3"/>
      <c r="Y254" s="3"/>
      <c r="Z254" s="3"/>
    </row>
    <row r="255">
      <c r="A255" s="54" t="s">
        <v>270</v>
      </c>
      <c r="B255" s="55" t="s">
        <v>1190</v>
      </c>
      <c r="C255" s="54" t="s">
        <v>1191</v>
      </c>
      <c r="D255" s="79" t="s">
        <v>273</v>
      </c>
      <c r="E255" s="77">
        <f>+15189862093</f>
        <v>15189862093</v>
      </c>
      <c r="F255" s="61" t="s">
        <v>275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3"/>
      <c r="U255" s="3"/>
      <c r="V255" s="3"/>
      <c r="W255" s="3"/>
      <c r="X255" s="3"/>
      <c r="Y255" s="3"/>
      <c r="Z255" s="3"/>
    </row>
    <row r="256">
      <c r="A256" s="54" t="s">
        <v>276</v>
      </c>
      <c r="B256" s="55" t="s">
        <v>1192</v>
      </c>
      <c r="C256" s="54" t="s">
        <v>278</v>
      </c>
      <c r="D256" s="79" t="s">
        <v>279</v>
      </c>
      <c r="E256" s="77" t="str">
        <f>+1 647-588-5832</f>
        <v>#ERROR!</v>
      </c>
      <c r="F256" s="85" t="s">
        <v>281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3"/>
      <c r="U256" s="3"/>
      <c r="V256" s="3"/>
      <c r="W256" s="3"/>
      <c r="X256" s="3"/>
      <c r="Y256" s="3"/>
      <c r="Z256" s="3"/>
    </row>
    <row r="257">
      <c r="A257" s="54" t="s">
        <v>282</v>
      </c>
      <c r="B257" s="55" t="s">
        <v>1193</v>
      </c>
      <c r="C257" s="80" t="s">
        <v>1194</v>
      </c>
      <c r="D257" s="79" t="s">
        <v>285</v>
      </c>
      <c r="E257" s="77">
        <f>+17609405708</f>
        <v>17609405708</v>
      </c>
      <c r="F257" s="85" t="s">
        <v>287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3"/>
      <c r="U257" s="3"/>
      <c r="V257" s="3"/>
      <c r="W257" s="3"/>
      <c r="X257" s="3"/>
      <c r="Y257" s="3"/>
      <c r="Z257" s="3"/>
    </row>
    <row r="258">
      <c r="A258" s="54" t="s">
        <v>288</v>
      </c>
      <c r="B258" s="80" t="s">
        <v>1195</v>
      </c>
      <c r="C258" s="54" t="s">
        <v>290</v>
      </c>
      <c r="D258" s="79" t="s">
        <v>291</v>
      </c>
      <c r="E258" s="77" t="str">
        <f>+380 91 960 4442</f>
        <v>#ERROR!</v>
      </c>
      <c r="F258" s="59" t="s">
        <v>293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3"/>
      <c r="U258" s="3"/>
      <c r="V258" s="3"/>
      <c r="W258" s="3"/>
      <c r="X258" s="3"/>
      <c r="Y258" s="3"/>
      <c r="Z258" s="3"/>
    </row>
    <row r="259">
      <c r="A259" s="54" t="s">
        <v>294</v>
      </c>
      <c r="B259" s="55" t="s">
        <v>1196</v>
      </c>
      <c r="C259" s="54" t="s">
        <v>296</v>
      </c>
      <c r="D259" s="79" t="s">
        <v>297</v>
      </c>
      <c r="E259" s="77" t="str">
        <f>+1 607-624-9956</f>
        <v>#ERROR!</v>
      </c>
      <c r="F259" s="61" t="s">
        <v>299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3"/>
      <c r="U259" s="3"/>
      <c r="V259" s="3"/>
      <c r="W259" s="3"/>
      <c r="X259" s="3"/>
      <c r="Y259" s="3"/>
      <c r="Z259" s="3"/>
    </row>
    <row r="260">
      <c r="A260" s="54" t="s">
        <v>300</v>
      </c>
      <c r="B260" s="54" t="s">
        <v>301</v>
      </c>
      <c r="C260" s="54" t="s">
        <v>302</v>
      </c>
      <c r="D260" s="79" t="s">
        <v>198</v>
      </c>
      <c r="E260" s="77">
        <f>+19373080085</f>
        <v>19373080085</v>
      </c>
      <c r="F260" s="85" t="s">
        <v>304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/>
      <c r="U260" s="3"/>
      <c r="V260" s="3"/>
      <c r="W260" s="3"/>
      <c r="X260" s="3"/>
      <c r="Y260" s="3"/>
      <c r="Z260" s="3"/>
    </row>
    <row r="261">
      <c r="A261" s="54" t="s">
        <v>305</v>
      </c>
      <c r="B261" s="55" t="s">
        <v>1197</v>
      </c>
      <c r="C261" s="54" t="s">
        <v>307</v>
      </c>
      <c r="D261" s="79" t="s">
        <v>308</v>
      </c>
      <c r="E261" s="77">
        <f>+15182741753</f>
        <v>15182741753</v>
      </c>
      <c r="F261" s="85" t="s">
        <v>310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3"/>
      <c r="U261" s="3"/>
      <c r="V261" s="3"/>
      <c r="W261" s="3"/>
      <c r="X261" s="3"/>
      <c r="Y261" s="3"/>
      <c r="Z261" s="3"/>
    </row>
    <row r="262">
      <c r="A262" s="54" t="s">
        <v>311</v>
      </c>
      <c r="B262" s="55" t="s">
        <v>1198</v>
      </c>
      <c r="C262" s="80" t="s">
        <v>1199</v>
      </c>
      <c r="D262" s="79" t="s">
        <v>314</v>
      </c>
      <c r="E262" s="77" t="str">
        <f>+1 917-935-1207</f>
        <v>#ERROR!</v>
      </c>
      <c r="F262" s="54" t="s">
        <v>316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3"/>
      <c r="U262" s="3"/>
      <c r="V262" s="3"/>
      <c r="W262" s="3"/>
      <c r="X262" s="3"/>
      <c r="Y262" s="3"/>
      <c r="Z262" s="3"/>
    </row>
    <row r="263">
      <c r="A263" s="54" t="s">
        <v>317</v>
      </c>
      <c r="B263" s="55" t="s">
        <v>1200</v>
      </c>
      <c r="C263" s="59" t="s">
        <v>319</v>
      </c>
      <c r="D263" s="79" t="s">
        <v>314</v>
      </c>
      <c r="E263" s="77">
        <f>+886978759583</f>
        <v>886978759583</v>
      </c>
      <c r="F263" s="54" t="s">
        <v>321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3"/>
      <c r="U263" s="3"/>
      <c r="V263" s="3"/>
      <c r="W263" s="3"/>
      <c r="X263" s="3"/>
      <c r="Y263" s="3"/>
      <c r="Z263" s="3"/>
    </row>
    <row r="264">
      <c r="A264" s="54" t="s">
        <v>322</v>
      </c>
      <c r="B264" s="55" t="s">
        <v>1201</v>
      </c>
      <c r="C264" s="54" t="s">
        <v>324</v>
      </c>
      <c r="D264" s="79" t="s">
        <v>325</v>
      </c>
      <c r="E264" s="77" t="str">
        <f>+1 718-809-8692</f>
        <v>#ERROR!</v>
      </c>
      <c r="F264" s="54" t="s">
        <v>327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3"/>
      <c r="U264" s="3"/>
      <c r="V264" s="3"/>
      <c r="W264" s="3"/>
      <c r="X264" s="3"/>
      <c r="Y264" s="3"/>
      <c r="Z264" s="3"/>
    </row>
    <row r="265">
      <c r="A265" s="54" t="s">
        <v>328</v>
      </c>
      <c r="B265" s="55" t="s">
        <v>1202</v>
      </c>
      <c r="C265" s="54" t="s">
        <v>330</v>
      </c>
      <c r="D265" s="79" t="s">
        <v>123</v>
      </c>
      <c r="E265" s="77">
        <f>+14157568809</f>
        <v>14157568809</v>
      </c>
      <c r="F265" s="54" t="s">
        <v>332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3"/>
      <c r="U265" s="3"/>
      <c r="V265" s="3"/>
      <c r="W265" s="3"/>
      <c r="X265" s="3"/>
      <c r="Y265" s="3"/>
      <c r="Z265" s="3"/>
    </row>
    <row r="266">
      <c r="A266" s="54" t="s">
        <v>333</v>
      </c>
      <c r="B266" s="55" t="s">
        <v>1203</v>
      </c>
      <c r="C266" s="80" t="s">
        <v>1204</v>
      </c>
      <c r="D266" s="79" t="s">
        <v>336</v>
      </c>
      <c r="E266" s="77">
        <f>+923214008883</f>
        <v>923214008883</v>
      </c>
      <c r="F266" s="54" t="s">
        <v>338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3"/>
      <c r="U266" s="3"/>
      <c r="V266" s="3"/>
      <c r="W266" s="3"/>
      <c r="X266" s="3"/>
      <c r="Y266" s="3"/>
      <c r="Z266" s="3"/>
    </row>
    <row r="267">
      <c r="A267" s="54" t="s">
        <v>339</v>
      </c>
      <c r="B267" s="54" t="s">
        <v>340</v>
      </c>
      <c r="C267" s="54" t="s">
        <v>341</v>
      </c>
      <c r="D267" s="79" t="s">
        <v>93</v>
      </c>
      <c r="E267" s="77">
        <f>+18167219809</f>
        <v>18167219809</v>
      </c>
      <c r="F267" s="54" t="s">
        <v>343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3"/>
      <c r="U267" s="3"/>
      <c r="V267" s="3"/>
      <c r="W267" s="3"/>
      <c r="X267" s="3"/>
      <c r="Y267" s="3"/>
      <c r="Z267" s="3"/>
    </row>
    <row r="268">
      <c r="A268" s="54" t="s">
        <v>344</v>
      </c>
      <c r="B268" s="55" t="s">
        <v>1205</v>
      </c>
      <c r="C268" s="54" t="s">
        <v>346</v>
      </c>
      <c r="D268" s="79" t="s">
        <v>347</v>
      </c>
      <c r="E268" s="77" t="str">
        <f>+44 78 7668 4571</f>
        <v>#ERROR!</v>
      </c>
      <c r="F268" s="90" t="s">
        <v>349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3"/>
      <c r="U268" s="3"/>
      <c r="V268" s="3"/>
      <c r="W268" s="3"/>
      <c r="X268" s="3"/>
      <c r="Y268" s="3"/>
      <c r="Z268" s="3"/>
    </row>
    <row r="269">
      <c r="A269" s="54" t="s">
        <v>350</v>
      </c>
      <c r="B269" s="55" t="s">
        <v>1206</v>
      </c>
      <c r="C269" s="54" t="s">
        <v>352</v>
      </c>
      <c r="D269" s="79" t="s">
        <v>353</v>
      </c>
      <c r="E269" s="77">
        <f>+17342761982</f>
        <v>17342761982</v>
      </c>
      <c r="F269" s="85" t="s">
        <v>355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3"/>
      <c r="U269" s="3"/>
      <c r="V269" s="3"/>
      <c r="W269" s="3"/>
      <c r="X269" s="3"/>
      <c r="Y269" s="3"/>
      <c r="Z269" s="3"/>
    </row>
    <row r="270">
      <c r="A270" s="54" t="s">
        <v>356</v>
      </c>
      <c r="B270" s="55" t="s">
        <v>1207</v>
      </c>
      <c r="C270" s="54" t="s">
        <v>356</v>
      </c>
      <c r="D270" s="79" t="s">
        <v>123</v>
      </c>
      <c r="E270" s="77">
        <f>+16039695781</f>
        <v>16039695781</v>
      </c>
      <c r="F270" s="54" t="s">
        <v>359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/>
      <c r="U270" s="3"/>
      <c r="V270" s="3"/>
      <c r="W270" s="3"/>
      <c r="X270" s="3"/>
      <c r="Y270" s="3"/>
      <c r="Z270" s="3"/>
    </row>
    <row r="271">
      <c r="A271" s="54" t="s">
        <v>360</v>
      </c>
      <c r="B271" s="55" t="s">
        <v>1208</v>
      </c>
      <c r="C271" s="54" t="s">
        <v>362</v>
      </c>
      <c r="D271" s="79" t="s">
        <v>123</v>
      </c>
      <c r="E271" s="77">
        <f>+19142057357</f>
        <v>19142057357</v>
      </c>
      <c r="F271" s="91" t="s">
        <v>364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/>
      <c r="U271" s="3"/>
      <c r="V271" s="3"/>
      <c r="W271" s="3"/>
      <c r="X271" s="3"/>
      <c r="Y271" s="3"/>
      <c r="Z271" s="3"/>
    </row>
    <row r="272">
      <c r="A272" s="54" t="s">
        <v>365</v>
      </c>
      <c r="B272" s="55" t="s">
        <v>1209</v>
      </c>
      <c r="C272" s="54" t="s">
        <v>367</v>
      </c>
      <c r="D272" s="79" t="s">
        <v>368</v>
      </c>
      <c r="E272" s="77" t="str">
        <f>+1 215-280-9939</f>
        <v>#ERROR!</v>
      </c>
      <c r="F272" s="83" t="s">
        <v>370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/>
      <c r="U272" s="3"/>
      <c r="V272" s="3"/>
      <c r="W272" s="3"/>
      <c r="X272" s="3"/>
      <c r="Y272" s="3"/>
      <c r="Z272" s="3"/>
    </row>
    <row r="273">
      <c r="A273" s="54" t="s">
        <v>371</v>
      </c>
      <c r="B273" s="55" t="s">
        <v>1210</v>
      </c>
      <c r="C273" s="54" t="s">
        <v>373</v>
      </c>
      <c r="D273" s="79" t="s">
        <v>210</v>
      </c>
      <c r="E273" s="77" t="str">
        <f>+380 35 315 9373</f>
        <v>#ERROR!</v>
      </c>
      <c r="F273" s="85" t="s">
        <v>375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3"/>
      <c r="U273" s="3"/>
      <c r="V273" s="3"/>
      <c r="W273" s="3"/>
      <c r="X273" s="3"/>
      <c r="Y273" s="3"/>
      <c r="Z273" s="3"/>
    </row>
    <row r="274">
      <c r="A274" s="54" t="s">
        <v>376</v>
      </c>
      <c r="B274" s="55" t="s">
        <v>1211</v>
      </c>
      <c r="C274" s="54" t="s">
        <v>378</v>
      </c>
      <c r="D274" s="79" t="s">
        <v>379</v>
      </c>
      <c r="E274" s="77" t="str">
        <f>+1 215-681-6333</f>
        <v>#ERROR!</v>
      </c>
      <c r="F274" s="85" t="s">
        <v>381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3"/>
      <c r="U274" s="3"/>
      <c r="V274" s="3"/>
      <c r="W274" s="3"/>
      <c r="X274" s="3"/>
      <c r="Y274" s="3"/>
      <c r="Z274" s="3"/>
    </row>
    <row r="275">
      <c r="A275" s="54" t="s">
        <v>1212</v>
      </c>
      <c r="B275" s="55" t="s">
        <v>1213</v>
      </c>
      <c r="C275" s="54" t="s">
        <v>384</v>
      </c>
      <c r="D275" s="79" t="s">
        <v>385</v>
      </c>
      <c r="E275" s="77">
        <f>+14155661742</f>
        <v>14155661742</v>
      </c>
      <c r="F275" s="54" t="s">
        <v>387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3"/>
      <c r="U275" s="3"/>
      <c r="V275" s="3"/>
      <c r="W275" s="3"/>
      <c r="X275" s="3"/>
      <c r="Y275" s="3"/>
      <c r="Z275" s="3"/>
    </row>
    <row r="276">
      <c r="A276" s="54" t="s">
        <v>388</v>
      </c>
      <c r="B276" s="55" t="s">
        <v>1214</v>
      </c>
      <c r="C276" s="54" t="s">
        <v>390</v>
      </c>
      <c r="D276" s="79" t="s">
        <v>391</v>
      </c>
      <c r="E276" s="77" t="str">
        <f>+380 97 649 6077</f>
        <v>#ERROR!</v>
      </c>
      <c r="F276" s="85" t="s">
        <v>393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3"/>
      <c r="U276" s="3"/>
      <c r="V276" s="3"/>
      <c r="W276" s="3"/>
      <c r="X276" s="3"/>
      <c r="Y276" s="3"/>
      <c r="Z276" s="3"/>
    </row>
    <row r="277">
      <c r="A277" s="54" t="s">
        <v>394</v>
      </c>
      <c r="B277" s="55" t="s">
        <v>1215</v>
      </c>
      <c r="C277" s="54" t="s">
        <v>396</v>
      </c>
      <c r="D277" s="79" t="s">
        <v>397</v>
      </c>
      <c r="E277" s="77" t="str">
        <f>+49 160 93461764</f>
        <v>#ERROR!</v>
      </c>
      <c r="F277" s="83" t="s">
        <v>399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3"/>
      <c r="U277" s="3"/>
      <c r="V277" s="3"/>
      <c r="W277" s="3"/>
      <c r="X277" s="3"/>
      <c r="Y277" s="3"/>
      <c r="Z277" s="3"/>
    </row>
    <row r="278">
      <c r="A278" s="54" t="s">
        <v>400</v>
      </c>
      <c r="B278" s="55" t="s">
        <v>1216</v>
      </c>
      <c r="C278" s="54" t="s">
        <v>402</v>
      </c>
      <c r="D278" s="79" t="s">
        <v>403</v>
      </c>
      <c r="E278" s="77" t="str">
        <f>+1 201-906-0960</f>
        <v>#ERROR!</v>
      </c>
      <c r="F278" s="83" t="s">
        <v>405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3"/>
      <c r="U278" s="3"/>
      <c r="V278" s="3"/>
      <c r="W278" s="3"/>
      <c r="X278" s="3"/>
      <c r="Y278" s="3"/>
      <c r="Z278" s="3"/>
    </row>
    <row r="279">
      <c r="A279" s="54" t="s">
        <v>406</v>
      </c>
      <c r="B279" s="55" t="s">
        <v>1217</v>
      </c>
      <c r="C279" s="54" t="s">
        <v>408</v>
      </c>
      <c r="D279" s="79" t="s">
        <v>409</v>
      </c>
      <c r="E279" s="77" t="str">
        <f>+380 99 089 5800</f>
        <v>#ERROR!</v>
      </c>
      <c r="F279" s="61" t="s">
        <v>411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3"/>
      <c r="U279" s="3"/>
      <c r="V279" s="3"/>
      <c r="W279" s="3"/>
      <c r="X279" s="3"/>
      <c r="Y279" s="3"/>
      <c r="Z279" s="3"/>
    </row>
    <row r="280">
      <c r="A280" s="54" t="s">
        <v>412</v>
      </c>
      <c r="B280" s="55" t="s">
        <v>1218</v>
      </c>
      <c r="C280" s="54" t="s">
        <v>414</v>
      </c>
      <c r="D280" s="79" t="s">
        <v>415</v>
      </c>
      <c r="E280" s="77" t="str">
        <f>+44 797 179 5253</f>
        <v>#ERROR!</v>
      </c>
      <c r="F280" s="85" t="s">
        <v>417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3"/>
      <c r="U280" s="3"/>
      <c r="V280" s="3"/>
      <c r="W280" s="3"/>
      <c r="X280" s="3"/>
      <c r="Y280" s="3"/>
      <c r="Z280" s="3"/>
    </row>
    <row r="281">
      <c r="A281" s="54" t="s">
        <v>418</v>
      </c>
      <c r="B281" s="55" t="s">
        <v>1219</v>
      </c>
      <c r="C281" s="54" t="s">
        <v>420</v>
      </c>
      <c r="D281" s="79" t="s">
        <v>421</v>
      </c>
      <c r="E281" s="77" t="str">
        <f>+1 617-206-1521</f>
        <v>#ERROR!</v>
      </c>
      <c r="F281" s="91" t="s">
        <v>423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3"/>
      <c r="U281" s="3"/>
      <c r="V281" s="3"/>
      <c r="W281" s="3"/>
      <c r="X281" s="3"/>
      <c r="Y281" s="3"/>
      <c r="Z281" s="3"/>
    </row>
    <row r="282">
      <c r="A282" s="54" t="s">
        <v>424</v>
      </c>
      <c r="B282" s="55" t="s">
        <v>1220</v>
      </c>
      <c r="C282" s="54" t="s">
        <v>426</v>
      </c>
      <c r="D282" s="79" t="s">
        <v>421</v>
      </c>
      <c r="E282" s="77" t="str">
        <f>+43 670 6579011 , +375 29 395-14-06</f>
        <v>#ERROR!</v>
      </c>
      <c r="F282" s="83" t="s">
        <v>428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3"/>
      <c r="U282" s="3"/>
      <c r="V282" s="3"/>
      <c r="W282" s="3"/>
      <c r="X282" s="3"/>
      <c r="Y282" s="3"/>
      <c r="Z282" s="3"/>
    </row>
    <row r="283">
      <c r="A283" s="54" t="s">
        <v>429</v>
      </c>
      <c r="B283" s="55" t="s">
        <v>1221</v>
      </c>
      <c r="C283" s="54" t="s">
        <v>431</v>
      </c>
      <c r="D283" s="79" t="s">
        <v>421</v>
      </c>
      <c r="E283" s="77">
        <f>+16179575677</f>
        <v>16179575677</v>
      </c>
      <c r="F283" s="85" t="s">
        <v>433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3"/>
      <c r="U283" s="3"/>
      <c r="V283" s="3"/>
      <c r="W283" s="3"/>
      <c r="X283" s="3"/>
      <c r="Y283" s="3"/>
      <c r="Z283" s="3"/>
    </row>
    <row r="284">
      <c r="A284" s="54" t="s">
        <v>434</v>
      </c>
      <c r="B284" s="55" t="s">
        <v>1222</v>
      </c>
      <c r="C284" s="54" t="s">
        <v>436</v>
      </c>
      <c r="D284" s="79" t="s">
        <v>285</v>
      </c>
      <c r="E284" s="77">
        <f>+380577840600</f>
        <v>380577840600</v>
      </c>
      <c r="F284" s="85" t="s">
        <v>438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3"/>
      <c r="U284" s="3"/>
      <c r="V284" s="3"/>
      <c r="W284" s="3"/>
      <c r="X284" s="3"/>
      <c r="Y284" s="3"/>
      <c r="Z284" s="3"/>
    </row>
    <row r="285">
      <c r="A285" s="54" t="s">
        <v>439</v>
      </c>
      <c r="B285" s="55" t="s">
        <v>1223</v>
      </c>
      <c r="C285" s="54" t="s">
        <v>441</v>
      </c>
      <c r="D285" s="79" t="s">
        <v>442</v>
      </c>
      <c r="E285" s="77">
        <f>+18884415744</f>
        <v>18884415744</v>
      </c>
      <c r="F285" s="83" t="s">
        <v>444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3"/>
      <c r="U285" s="3"/>
      <c r="V285" s="3"/>
      <c r="W285" s="3"/>
      <c r="X285" s="3"/>
      <c r="Y285" s="3"/>
      <c r="Z285" s="3"/>
    </row>
    <row r="286">
      <c r="A286" s="54" t="s">
        <v>445</v>
      </c>
      <c r="B286" s="54" t="s">
        <v>446</v>
      </c>
      <c r="C286" s="54" t="s">
        <v>447</v>
      </c>
      <c r="D286" s="79" t="s">
        <v>448</v>
      </c>
      <c r="E286" s="77">
        <f>+380675799133</f>
        <v>380675799133</v>
      </c>
      <c r="F286" s="85" t="s">
        <v>450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3"/>
      <c r="U286" s="3"/>
      <c r="V286" s="3"/>
      <c r="W286" s="3"/>
      <c r="X286" s="3"/>
      <c r="Y286" s="3"/>
      <c r="Z286" s="3"/>
    </row>
    <row r="287">
      <c r="A287" s="54" t="s">
        <v>451</v>
      </c>
      <c r="B287" s="55" t="s">
        <v>1224</v>
      </c>
      <c r="C287" s="86" t="s">
        <v>453</v>
      </c>
      <c r="D287" s="79" t="s">
        <v>123</v>
      </c>
      <c r="E287" s="77">
        <f>+13523572242</f>
        <v>13523572242</v>
      </c>
      <c r="F287" s="54" t="s">
        <v>455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3"/>
      <c r="U287" s="3"/>
      <c r="V287" s="3"/>
      <c r="W287" s="3"/>
      <c r="X287" s="3"/>
      <c r="Y287" s="3"/>
      <c r="Z287" s="3"/>
    </row>
    <row r="288">
      <c r="A288" s="54" t="s">
        <v>456</v>
      </c>
      <c r="B288" s="55" t="s">
        <v>1225</v>
      </c>
      <c r="C288" s="54" t="s">
        <v>458</v>
      </c>
      <c r="D288" s="79" t="s">
        <v>421</v>
      </c>
      <c r="E288" s="77" t="str">
        <f>+598 99 023 143</f>
        <v>#ERROR!</v>
      </c>
      <c r="F288" s="83" t="s">
        <v>460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3"/>
      <c r="U288" s="3"/>
      <c r="V288" s="3"/>
      <c r="W288" s="3"/>
      <c r="X288" s="3"/>
      <c r="Y288" s="3"/>
      <c r="Z288" s="3"/>
    </row>
    <row r="289">
      <c r="A289" s="54" t="s">
        <v>461</v>
      </c>
      <c r="B289" s="55" t="s">
        <v>1226</v>
      </c>
      <c r="C289" s="54" t="s">
        <v>463</v>
      </c>
      <c r="D289" s="79" t="s">
        <v>464</v>
      </c>
      <c r="E289" s="77" t="str">
        <f>+1 703-638-4138</f>
        <v>#ERROR!</v>
      </c>
      <c r="F289" s="83" t="s">
        <v>466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3"/>
      <c r="U289" s="3"/>
      <c r="V289" s="3"/>
      <c r="W289" s="3"/>
      <c r="X289" s="3"/>
      <c r="Y289" s="3"/>
      <c r="Z289" s="3"/>
    </row>
    <row r="290">
      <c r="A290" s="54" t="s">
        <v>467</v>
      </c>
      <c r="B290" s="55" t="s">
        <v>1227</v>
      </c>
      <c r="C290" s="54" t="s">
        <v>469</v>
      </c>
      <c r="D290" s="79" t="s">
        <v>470</v>
      </c>
      <c r="E290" s="77">
        <f>+617-855-5148</f>
        <v>-5386</v>
      </c>
      <c r="F290" s="83" t="s">
        <v>472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3"/>
      <c r="V290" s="3"/>
      <c r="W290" s="3"/>
      <c r="X290" s="3"/>
      <c r="Y290" s="3"/>
      <c r="Z290" s="3"/>
    </row>
    <row r="291">
      <c r="A291" s="54" t="s">
        <v>473</v>
      </c>
      <c r="B291" s="55" t="s">
        <v>1228</v>
      </c>
      <c r="C291" s="80" t="s">
        <v>1229</v>
      </c>
      <c r="D291" s="79" t="s">
        <v>476</v>
      </c>
      <c r="E291" s="77" t="str">
        <f>+7 911 923-00-74 , +1 267-261-8580</f>
        <v>#ERROR!</v>
      </c>
      <c r="F291" s="59" t="s">
        <v>478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3"/>
      <c r="U291" s="3"/>
      <c r="V291" s="3"/>
      <c r="W291" s="3"/>
      <c r="X291" s="3"/>
      <c r="Y291" s="3"/>
      <c r="Z291" s="3"/>
    </row>
    <row r="292">
      <c r="A292" s="54" t="s">
        <v>479</v>
      </c>
      <c r="B292" s="55" t="s">
        <v>1230</v>
      </c>
      <c r="C292" s="54" t="s">
        <v>481</v>
      </c>
      <c r="D292" s="79" t="s">
        <v>482</v>
      </c>
      <c r="E292" s="77" t="str">
        <f>+1 508-221-1286</f>
        <v>#ERROR!</v>
      </c>
      <c r="F292" s="83" t="s">
        <v>484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3"/>
      <c r="U292" s="3"/>
      <c r="V292" s="3"/>
      <c r="W292" s="3"/>
      <c r="X292" s="3"/>
      <c r="Y292" s="3"/>
      <c r="Z292" s="3"/>
    </row>
    <row r="293">
      <c r="A293" s="54" t="s">
        <v>485</v>
      </c>
      <c r="B293" s="55" t="s">
        <v>1231</v>
      </c>
      <c r="C293" s="54" t="s">
        <v>487</v>
      </c>
      <c r="D293" s="79" t="s">
        <v>488</v>
      </c>
      <c r="E293" s="77" t="str">
        <f>+1 339-225-0646</f>
        <v>#ERROR!</v>
      </c>
      <c r="F293" s="59" t="s">
        <v>490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3"/>
      <c r="U293" s="3"/>
      <c r="V293" s="3"/>
      <c r="W293" s="3"/>
      <c r="X293" s="3"/>
      <c r="Y293" s="3"/>
      <c r="Z293" s="3"/>
    </row>
    <row r="294">
      <c r="A294" s="54" t="s">
        <v>491</v>
      </c>
      <c r="B294" s="55" t="s">
        <v>1232</v>
      </c>
      <c r="C294" s="54" t="s">
        <v>493</v>
      </c>
      <c r="D294" s="79" t="s">
        <v>494</v>
      </c>
      <c r="E294" s="77" t="str">
        <f>+1 860-942-9096</f>
        <v>#ERROR!</v>
      </c>
      <c r="F294" s="59" t="s">
        <v>496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3"/>
      <c r="U294" s="3"/>
      <c r="V294" s="3"/>
      <c r="W294" s="3"/>
      <c r="X294" s="3"/>
      <c r="Y294" s="3"/>
      <c r="Z294" s="3"/>
    </row>
    <row r="295">
      <c r="A295" s="54" t="s">
        <v>497</v>
      </c>
      <c r="B295" s="55" t="s">
        <v>1233</v>
      </c>
      <c r="C295" s="54" t="s">
        <v>499</v>
      </c>
      <c r="D295" s="79" t="s">
        <v>494</v>
      </c>
      <c r="E295" s="77">
        <f>+774-444-5584</f>
        <v>-5254</v>
      </c>
      <c r="F295" s="83" t="s">
        <v>501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3"/>
      <c r="U295" s="3"/>
      <c r="V295" s="3"/>
      <c r="W295" s="3"/>
      <c r="X295" s="3"/>
      <c r="Y295" s="3"/>
      <c r="Z295" s="3"/>
    </row>
    <row r="296">
      <c r="A296" s="54" t="s">
        <v>502</v>
      </c>
      <c r="B296" s="55" t="s">
        <v>1234</v>
      </c>
      <c r="C296" s="54" t="s">
        <v>504</v>
      </c>
      <c r="D296" s="79" t="s">
        <v>505</v>
      </c>
      <c r="E296" s="77" t="str">
        <f>+1 413-854-8468</f>
        <v>#ERROR!</v>
      </c>
      <c r="F296" s="85" t="s">
        <v>507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3"/>
      <c r="U296" s="3"/>
      <c r="V296" s="3"/>
      <c r="W296" s="3"/>
      <c r="X296" s="3"/>
      <c r="Y296" s="3"/>
      <c r="Z296" s="3"/>
    </row>
    <row r="297">
      <c r="A297" s="54" t="s">
        <v>508</v>
      </c>
      <c r="B297" s="55" t="s">
        <v>1235</v>
      </c>
      <c r="C297" s="54" t="s">
        <v>510</v>
      </c>
      <c r="D297" s="79" t="s">
        <v>421</v>
      </c>
      <c r="E297" s="77" t="str">
        <f>+1 617-953-7586</f>
        <v>#ERROR!</v>
      </c>
      <c r="F297" s="61" t="s">
        <v>512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3"/>
      <c r="U297" s="3"/>
      <c r="V297" s="3"/>
      <c r="W297" s="3"/>
      <c r="X297" s="3"/>
      <c r="Y297" s="3"/>
      <c r="Z297" s="3"/>
    </row>
    <row r="298">
      <c r="A298" s="54" t="s">
        <v>513</v>
      </c>
      <c r="B298" s="55" t="s">
        <v>1236</v>
      </c>
      <c r="C298" s="54" t="s">
        <v>515</v>
      </c>
      <c r="D298" s="79" t="s">
        <v>516</v>
      </c>
      <c r="E298" s="77">
        <f>+16174624783</f>
        <v>16174624783</v>
      </c>
      <c r="F298" s="83" t="s">
        <v>518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3"/>
      <c r="U298" s="3"/>
      <c r="V298" s="3"/>
      <c r="W298" s="3"/>
      <c r="X298" s="3"/>
      <c r="Y298" s="3"/>
      <c r="Z298" s="3"/>
    </row>
    <row r="299">
      <c r="A299" s="54" t="s">
        <v>519</v>
      </c>
      <c r="B299" s="55" t="s">
        <v>1237</v>
      </c>
      <c r="C299" s="54" t="s">
        <v>521</v>
      </c>
      <c r="D299" s="79" t="s">
        <v>522</v>
      </c>
      <c r="E299" s="77">
        <f>+17813504359</f>
        <v>17813504359</v>
      </c>
      <c r="F299" s="85" t="s">
        <v>524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3"/>
      <c r="U299" s="3"/>
      <c r="V299" s="3"/>
      <c r="W299" s="3"/>
      <c r="X299" s="3"/>
      <c r="Y299" s="3"/>
      <c r="Z299" s="3"/>
    </row>
    <row r="300">
      <c r="A300" s="54" t="s">
        <v>525</v>
      </c>
      <c r="B300" s="55" t="s">
        <v>1238</v>
      </c>
      <c r="C300" s="54" t="s">
        <v>527</v>
      </c>
      <c r="D300" s="79" t="s">
        <v>421</v>
      </c>
      <c r="E300" s="77">
        <f>+14135634310</f>
        <v>14135634310</v>
      </c>
      <c r="F300" s="85" t="s">
        <v>529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3"/>
      <c r="U300" s="3"/>
      <c r="V300" s="3"/>
      <c r="W300" s="3"/>
      <c r="X300" s="3"/>
      <c r="Y300" s="3"/>
      <c r="Z300" s="3"/>
    </row>
    <row r="301">
      <c r="A301" s="54" t="s">
        <v>530</v>
      </c>
      <c r="B301" s="55" t="s">
        <v>1239</v>
      </c>
      <c r="C301" s="54" t="s">
        <v>532</v>
      </c>
      <c r="D301" s="79" t="s">
        <v>421</v>
      </c>
      <c r="E301" s="77">
        <f>+17132485066</f>
        <v>17132485066</v>
      </c>
      <c r="F301" s="85" t="s">
        <v>534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3"/>
      <c r="U301" s="3"/>
      <c r="V301" s="3"/>
      <c r="W301" s="3"/>
      <c r="X301" s="3"/>
      <c r="Y301" s="3"/>
      <c r="Z301" s="3"/>
    </row>
    <row r="302">
      <c r="A302" s="54" t="s">
        <v>535</v>
      </c>
      <c r="B302" s="55" t="s">
        <v>1240</v>
      </c>
      <c r="C302" s="54" t="s">
        <v>537</v>
      </c>
      <c r="D302" s="79" t="s">
        <v>93</v>
      </c>
      <c r="E302" s="77">
        <f>+3059369880</f>
        <v>3059369880</v>
      </c>
      <c r="F302" s="83" t="s">
        <v>539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3"/>
      <c r="U302" s="3"/>
      <c r="V302" s="3"/>
      <c r="W302" s="3"/>
      <c r="X302" s="3"/>
      <c r="Y302" s="3"/>
      <c r="Z302" s="3"/>
    </row>
    <row r="303">
      <c r="A303" s="54" t="s">
        <v>540</v>
      </c>
      <c r="B303" s="55" t="s">
        <v>1241</v>
      </c>
      <c r="C303" s="54" t="s">
        <v>542</v>
      </c>
      <c r="D303" s="79" t="s">
        <v>285</v>
      </c>
      <c r="E303" s="77">
        <f>+16174160627</f>
        <v>16174160627</v>
      </c>
      <c r="F303" s="85" t="s">
        <v>544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  <c r="U303" s="3"/>
      <c r="V303" s="3"/>
      <c r="W303" s="3"/>
      <c r="X303" s="3"/>
      <c r="Y303" s="3"/>
      <c r="Z303" s="3"/>
    </row>
    <row r="304">
      <c r="A304" s="54" t="s">
        <v>545</v>
      </c>
      <c r="B304" s="55" t="s">
        <v>1242</v>
      </c>
      <c r="C304" s="54" t="s">
        <v>547</v>
      </c>
      <c r="D304" s="79" t="s">
        <v>548</v>
      </c>
      <c r="E304" s="77" t="str">
        <f>+1 813-500-7113</f>
        <v>#ERROR!</v>
      </c>
      <c r="F304" s="85" t="s">
        <v>550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3"/>
      <c r="U304" s="3"/>
      <c r="V304" s="3"/>
      <c r="W304" s="3"/>
      <c r="X304" s="3"/>
      <c r="Y304" s="3"/>
      <c r="Z304" s="3"/>
    </row>
    <row r="305">
      <c r="A305" s="54" t="s">
        <v>551</v>
      </c>
      <c r="B305" s="54" t="s">
        <v>552</v>
      </c>
      <c r="C305" s="54" t="s">
        <v>553</v>
      </c>
      <c r="D305" s="79" t="s">
        <v>93</v>
      </c>
      <c r="E305" s="77" t="str">
        <f>+1 312-519-6961</f>
        <v>#ERROR!</v>
      </c>
      <c r="F305" s="83" t="s">
        <v>555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  <c r="U305" s="3"/>
      <c r="V305" s="3"/>
      <c r="W305" s="3"/>
      <c r="X305" s="3"/>
      <c r="Y305" s="3"/>
      <c r="Z305" s="3"/>
    </row>
    <row r="306">
      <c r="A306" s="54" t="s">
        <v>556</v>
      </c>
      <c r="B306" s="55" t="s">
        <v>1243</v>
      </c>
      <c r="C306" s="54" t="s">
        <v>1244</v>
      </c>
      <c r="D306" s="79" t="s">
        <v>559</v>
      </c>
      <c r="E306" s="77" t="str">
        <f>+380 93 943 7213</f>
        <v>#ERROR!</v>
      </c>
      <c r="F306" s="85" t="s">
        <v>561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3"/>
      <c r="U306" s="3"/>
      <c r="V306" s="3"/>
      <c r="W306" s="3"/>
      <c r="X306" s="3"/>
      <c r="Y306" s="3"/>
      <c r="Z306" s="3"/>
    </row>
    <row r="307">
      <c r="A307" s="92" t="s">
        <v>562</v>
      </c>
      <c r="B307" s="93" t="s">
        <v>1245</v>
      </c>
      <c r="C307" s="92" t="s">
        <v>564</v>
      </c>
      <c r="D307" s="92" t="s">
        <v>1246</v>
      </c>
      <c r="E307" s="94" t="str">
        <f>+1 386-405-4281</f>
        <v>#ERROR!</v>
      </c>
      <c r="F307" s="93" t="s">
        <v>1247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  <c r="U307" s="3"/>
      <c r="V307" s="3"/>
      <c r="W307" s="3"/>
      <c r="X307" s="3"/>
      <c r="Y307" s="3"/>
      <c r="Z307" s="3"/>
    </row>
    <row r="308">
      <c r="A308" s="92" t="s">
        <v>568</v>
      </c>
      <c r="B308" s="93" t="s">
        <v>1248</v>
      </c>
      <c r="C308" s="92" t="s">
        <v>570</v>
      </c>
      <c r="D308" s="92" t="s">
        <v>1249</v>
      </c>
      <c r="E308" s="94" t="str">
        <f>+1 (239) 900-0903
 +1 239-595-9764</f>
        <v>#ERROR!</v>
      </c>
      <c r="F308" s="93" t="s">
        <v>1250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3"/>
      <c r="U308" s="3"/>
      <c r="V308" s="3"/>
      <c r="W308" s="3"/>
      <c r="X308" s="3"/>
      <c r="Y308" s="3"/>
      <c r="Z308" s="3"/>
    </row>
    <row r="309">
      <c r="A309" s="92" t="s">
        <v>1251</v>
      </c>
      <c r="B309" s="93" t="s">
        <v>1252</v>
      </c>
      <c r="C309" s="92" t="s">
        <v>576</v>
      </c>
      <c r="D309" s="92" t="s">
        <v>1253</v>
      </c>
      <c r="E309" s="94" t="str">
        <f>+1(954) 998-8888</f>
        <v>#ERROR!</v>
      </c>
      <c r="F309" s="93" t="s">
        <v>1254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3"/>
      <c r="U309" s="3"/>
      <c r="V309" s="3"/>
      <c r="W309" s="3"/>
      <c r="X309" s="3"/>
      <c r="Y309" s="3"/>
      <c r="Z309" s="3"/>
    </row>
    <row r="310">
      <c r="A310" s="92" t="s">
        <v>580</v>
      </c>
      <c r="B310" s="92" t="s">
        <v>1255</v>
      </c>
      <c r="C310" s="92" t="s">
        <v>582</v>
      </c>
      <c r="D310" s="92" t="s">
        <v>1256</v>
      </c>
      <c r="E310" s="94" t="str">
        <f>+1 (407) 446-2602</f>
        <v>#ERROR!</v>
      </c>
      <c r="F310" s="93" t="s">
        <v>1257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3"/>
      <c r="U310" s="3"/>
      <c r="V310" s="3"/>
      <c r="W310" s="3"/>
      <c r="X310" s="3"/>
      <c r="Y310" s="3"/>
      <c r="Z310" s="3"/>
    </row>
    <row r="311">
      <c r="A311" s="92" t="s">
        <v>586</v>
      </c>
      <c r="B311" s="95" t="s">
        <v>587</v>
      </c>
      <c r="C311" s="92" t="s">
        <v>588</v>
      </c>
      <c r="D311" s="92" t="s">
        <v>1258</v>
      </c>
      <c r="E311" s="94" t="str">
        <f>+1 3862551222</f>
        <v>#ERROR!</v>
      </c>
      <c r="F311" s="93" t="s">
        <v>1259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3"/>
      <c r="U311" s="3"/>
      <c r="V311" s="3"/>
      <c r="W311" s="3"/>
      <c r="X311" s="3"/>
      <c r="Y311" s="3"/>
      <c r="Z311" s="3"/>
    </row>
    <row r="312">
      <c r="A312" s="92" t="s">
        <v>1260</v>
      </c>
      <c r="B312" s="93" t="s">
        <v>1261</v>
      </c>
      <c r="C312" s="92" t="s">
        <v>594</v>
      </c>
      <c r="D312" s="92" t="s">
        <v>1262</v>
      </c>
      <c r="E312" s="94" t="str">
        <f>+1 (561) 452 - 8513</f>
        <v>#ERROR!</v>
      </c>
      <c r="F312" s="92" t="s">
        <v>1263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3"/>
      <c r="U312" s="3"/>
      <c r="V312" s="3"/>
      <c r="W312" s="3"/>
      <c r="X312" s="3"/>
      <c r="Y312" s="3"/>
      <c r="Z312" s="3"/>
    </row>
    <row r="313">
      <c r="A313" s="92" t="s">
        <v>598</v>
      </c>
      <c r="B313" s="95" t="s">
        <v>1264</v>
      </c>
      <c r="C313" s="92" t="s">
        <v>1265</v>
      </c>
      <c r="D313" s="92" t="s">
        <v>1266</v>
      </c>
      <c r="E313" s="94">
        <f>+1.4072279377</f>
        <v>1.407227938</v>
      </c>
      <c r="F313" s="93" t="s">
        <v>1267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3"/>
      <c r="U313" s="3"/>
      <c r="V313" s="3"/>
      <c r="W313" s="3"/>
      <c r="X313" s="3"/>
      <c r="Y313" s="3"/>
      <c r="Z313" s="3"/>
    </row>
    <row r="314">
      <c r="A314" s="96" t="s">
        <v>1268</v>
      </c>
      <c r="B314" s="97" t="s">
        <v>1269</v>
      </c>
      <c r="C314" s="96" t="s">
        <v>1270</v>
      </c>
      <c r="D314" s="96" t="s">
        <v>1271</v>
      </c>
      <c r="E314" s="98">
        <f>+1.3863074435</f>
        <v>1.386307444</v>
      </c>
      <c r="F314" s="97" t="s">
        <v>1272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  <c r="U314" s="3"/>
      <c r="V314" s="3"/>
      <c r="W314" s="3"/>
      <c r="X314" s="3"/>
      <c r="Y314" s="3"/>
      <c r="Z314" s="3"/>
    </row>
    <row r="315">
      <c r="A315" s="92" t="s">
        <v>610</v>
      </c>
      <c r="B315" s="97" t="s">
        <v>1273</v>
      </c>
      <c r="C315" s="92" t="s">
        <v>612</v>
      </c>
      <c r="D315" s="96" t="s">
        <v>1274</v>
      </c>
      <c r="E315" s="98">
        <f>+1.3862819381</f>
        <v>1.386281938</v>
      </c>
      <c r="F315" s="97" t="s">
        <v>1275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  <c r="U315" s="3"/>
      <c r="V315" s="3"/>
      <c r="W315" s="3"/>
      <c r="X315" s="3"/>
      <c r="Y315" s="3"/>
      <c r="Z315" s="3"/>
    </row>
    <row r="316">
      <c r="A316" s="96" t="s">
        <v>616</v>
      </c>
      <c r="B316" s="97" t="s">
        <v>1276</v>
      </c>
      <c r="C316" s="96" t="s">
        <v>618</v>
      </c>
      <c r="D316" s="96" t="s">
        <v>659</v>
      </c>
      <c r="E316" s="98">
        <f>+13053030074</f>
        <v>13053030074</v>
      </c>
      <c r="F316" s="96" t="s">
        <v>1277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  <c r="U316" s="3"/>
      <c r="V316" s="3"/>
      <c r="W316" s="3"/>
      <c r="X316" s="3"/>
      <c r="Y316" s="3"/>
      <c r="Z316" s="3"/>
    </row>
    <row r="317">
      <c r="A317" s="96" t="s">
        <v>622</v>
      </c>
      <c r="B317" s="97" t="s">
        <v>1278</v>
      </c>
      <c r="C317" s="96" t="s">
        <v>624</v>
      </c>
      <c r="D317" s="96" t="s">
        <v>740</v>
      </c>
      <c r="E317" s="99">
        <v>1.7049185733E10</v>
      </c>
      <c r="F317" s="96" t="s">
        <v>1279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3"/>
      <c r="U317" s="3"/>
      <c r="V317" s="3"/>
      <c r="W317" s="3"/>
      <c r="X317" s="3"/>
      <c r="Y317" s="3"/>
      <c r="Z317" s="3"/>
    </row>
    <row r="318">
      <c r="A318" s="96" t="s">
        <v>627</v>
      </c>
      <c r="B318" s="100" t="s">
        <v>628</v>
      </c>
      <c r="C318" s="96" t="s">
        <v>629</v>
      </c>
      <c r="D318" s="96" t="s">
        <v>711</v>
      </c>
      <c r="E318" s="98" t="str">
        <f>+1(407) 982-1811, 
 +1.4074127470 
 and +1(321) 663-1363</f>
        <v>#ERROR!</v>
      </c>
      <c r="F318" s="96" t="s">
        <v>1280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3"/>
      <c r="U318" s="3"/>
      <c r="V318" s="3"/>
      <c r="W318" s="3"/>
      <c r="X318" s="3"/>
      <c r="Y318" s="3"/>
      <c r="Z318" s="3"/>
    </row>
    <row r="319">
      <c r="A319" s="96" t="s">
        <v>633</v>
      </c>
      <c r="B319" s="100" t="s">
        <v>634</v>
      </c>
      <c r="C319" s="96" t="s">
        <v>635</v>
      </c>
      <c r="D319" s="96" t="s">
        <v>1281</v>
      </c>
      <c r="E319" s="98" t="str">
        <f>+1.6103639005 
 +1.6106448637.</f>
        <v>#ERROR!</v>
      </c>
      <c r="F319" s="97" t="s">
        <v>1282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  <c r="U319" s="3"/>
      <c r="V319" s="3"/>
      <c r="W319" s="3"/>
      <c r="X319" s="3"/>
      <c r="Y319" s="3"/>
      <c r="Z319" s="3"/>
    </row>
    <row r="320">
      <c r="A320" s="96" t="s">
        <v>639</v>
      </c>
      <c r="B320" s="100" t="s">
        <v>640</v>
      </c>
      <c r="C320" s="96" t="s">
        <v>641</v>
      </c>
      <c r="D320" s="96" t="s">
        <v>154</v>
      </c>
      <c r="E320" s="98">
        <f>+1.7863517154
 +1.3056713504</f>
        <v>3.092023066</v>
      </c>
      <c r="F320" s="96" t="s">
        <v>1283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  <c r="U320" s="3"/>
      <c r="V320" s="3"/>
      <c r="W320" s="3"/>
      <c r="X320" s="3"/>
      <c r="Y320" s="3"/>
      <c r="Z320" s="3"/>
    </row>
    <row r="321">
      <c r="A321" s="96" t="s">
        <v>644</v>
      </c>
      <c r="B321" s="97" t="s">
        <v>1284</v>
      </c>
      <c r="C321" s="96" t="s">
        <v>646</v>
      </c>
      <c r="D321" s="96" t="s">
        <v>1285</v>
      </c>
      <c r="E321" s="98">
        <f>+1.5618326262</f>
        <v>1.561832626</v>
      </c>
      <c r="F321" s="96" t="s">
        <v>1286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3"/>
      <c r="U321" s="3"/>
      <c r="V321" s="3"/>
      <c r="W321" s="3"/>
      <c r="X321" s="3"/>
      <c r="Y321" s="3"/>
      <c r="Z321" s="3"/>
    </row>
    <row r="322">
      <c r="A322" s="96" t="s">
        <v>650</v>
      </c>
      <c r="B322" s="97" t="s">
        <v>1287</v>
      </c>
      <c r="C322" s="96" t="s">
        <v>652</v>
      </c>
      <c r="D322" s="96" t="s">
        <v>1288</v>
      </c>
      <c r="E322" s="98" t="str">
        <f>+1.6468448444, +1.9546757140, +1.9545091900 and +1.9546751916</f>
        <v>#ERROR!</v>
      </c>
      <c r="F322" s="96" t="s">
        <v>1289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3"/>
      <c r="U322" s="3"/>
      <c r="V322" s="3"/>
      <c r="W322" s="3"/>
      <c r="X322" s="3"/>
      <c r="Y322" s="3"/>
      <c r="Z322" s="3"/>
    </row>
    <row r="323">
      <c r="A323" s="96" t="s">
        <v>656</v>
      </c>
      <c r="B323" s="97" t="s">
        <v>1290</v>
      </c>
      <c r="C323" s="96" t="s">
        <v>658</v>
      </c>
      <c r="D323" s="96" t="s">
        <v>659</v>
      </c>
      <c r="E323" s="96" t="s">
        <v>660</v>
      </c>
      <c r="F323" s="96" t="s">
        <v>1291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3"/>
      <c r="U323" s="3"/>
      <c r="V323" s="3"/>
      <c r="W323" s="3"/>
      <c r="X323" s="3"/>
      <c r="Y323" s="3"/>
      <c r="Z323" s="3"/>
    </row>
    <row r="324">
      <c r="A324" s="96" t="s">
        <v>662</v>
      </c>
      <c r="B324" s="100" t="s">
        <v>1292</v>
      </c>
      <c r="C324" s="96" t="s">
        <v>664</v>
      </c>
      <c r="D324" s="96" t="s">
        <v>665</v>
      </c>
      <c r="E324" s="98">
        <f>+1.3214313313
  +1.4075836427</f>
        <v>2.729014974</v>
      </c>
      <c r="F324" s="96" t="s">
        <v>1293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3"/>
      <c r="U324" s="3"/>
      <c r="V324" s="3"/>
      <c r="W324" s="3"/>
      <c r="X324" s="3"/>
      <c r="Y324" s="3"/>
      <c r="Z324" s="3"/>
    </row>
    <row r="325">
      <c r="A325" s="96" t="s">
        <v>668</v>
      </c>
      <c r="B325" s="97" t="s">
        <v>1294</v>
      </c>
      <c r="C325" s="96" t="s">
        <v>670</v>
      </c>
      <c r="D325" s="96" t="s">
        <v>671</v>
      </c>
      <c r="E325" s="98">
        <f>+1.2489903179</f>
        <v>1.248990318</v>
      </c>
      <c r="F325" s="96" t="s">
        <v>673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3"/>
      <c r="U325" s="3"/>
      <c r="V325" s="3"/>
      <c r="W325" s="3"/>
      <c r="X325" s="3"/>
      <c r="Y325" s="3"/>
      <c r="Z325" s="3"/>
    </row>
    <row r="326">
      <c r="A326" s="96" t="s">
        <v>674</v>
      </c>
      <c r="B326" s="97" t="s">
        <v>1295</v>
      </c>
      <c r="C326" s="96" t="s">
        <v>676</v>
      </c>
      <c r="D326" s="96" t="s">
        <v>677</v>
      </c>
      <c r="E326" s="98">
        <f>+1.4077544339</f>
        <v>1.407754434</v>
      </c>
      <c r="F326" s="96" t="s">
        <v>1296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3"/>
      <c r="U326" s="3"/>
      <c r="V326" s="3"/>
      <c r="W326" s="3"/>
      <c r="X326" s="3"/>
      <c r="Y326" s="3"/>
      <c r="Z326" s="3"/>
    </row>
    <row r="327">
      <c r="A327" s="96" t="s">
        <v>680</v>
      </c>
      <c r="B327" s="97" t="s">
        <v>1297</v>
      </c>
      <c r="C327" s="96" t="s">
        <v>682</v>
      </c>
      <c r="D327" s="96" t="s">
        <v>659</v>
      </c>
      <c r="E327" s="98" t="str">
        <f>+1.2406839191, +1.7867631059, 
 (703) 651-6953 and 3012753997</f>
        <v>#ERROR!</v>
      </c>
      <c r="F327" s="96" t="s">
        <v>684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  <c r="U327" s="3"/>
      <c r="V327" s="3"/>
      <c r="W327" s="3"/>
      <c r="X327" s="3"/>
      <c r="Y327" s="3"/>
      <c r="Z327" s="3"/>
    </row>
    <row r="328">
      <c r="A328" s="96" t="s">
        <v>685</v>
      </c>
      <c r="B328" s="97" t="s">
        <v>1298</v>
      </c>
      <c r="C328" s="96" t="s">
        <v>687</v>
      </c>
      <c r="D328" s="96" t="s">
        <v>665</v>
      </c>
      <c r="E328" s="96" t="s">
        <v>1299</v>
      </c>
      <c r="F328" s="96" t="s">
        <v>1300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3"/>
      <c r="U328" s="3"/>
      <c r="V328" s="3"/>
      <c r="W328" s="3"/>
      <c r="X328" s="3"/>
      <c r="Y328" s="3"/>
      <c r="Z328" s="3"/>
    </row>
    <row r="329">
      <c r="A329" s="96" t="s">
        <v>691</v>
      </c>
      <c r="B329" s="100" t="s">
        <v>692</v>
      </c>
      <c r="C329" s="96" t="s">
        <v>693</v>
      </c>
      <c r="D329" s="96" t="s">
        <v>659</v>
      </c>
      <c r="E329" s="96" t="s">
        <v>694</v>
      </c>
      <c r="F329" s="97" t="s">
        <v>1301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  <c r="U329" s="3"/>
      <c r="V329" s="3"/>
      <c r="W329" s="3"/>
      <c r="X329" s="3"/>
      <c r="Y329" s="3"/>
      <c r="Z329" s="3"/>
    </row>
    <row r="330">
      <c r="A330" s="96" t="s">
        <v>696</v>
      </c>
      <c r="B330" s="97" t="s">
        <v>1302</v>
      </c>
      <c r="C330" s="96" t="s">
        <v>698</v>
      </c>
      <c r="D330" s="96" t="s">
        <v>699</v>
      </c>
      <c r="E330" s="98" t="str">
        <f>+1561.266.0127</f>
        <v>#ERROR!</v>
      </c>
      <c r="F330" s="96" t="s">
        <v>1303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3"/>
      <c r="U330" s="3"/>
      <c r="V330" s="3"/>
      <c r="W330" s="3"/>
      <c r="X330" s="3"/>
      <c r="Y330" s="3"/>
      <c r="Z330" s="3"/>
    </row>
    <row r="331">
      <c r="A331" s="96" t="s">
        <v>702</v>
      </c>
      <c r="B331" s="97" t="s">
        <v>1304</v>
      </c>
      <c r="C331" s="96" t="s">
        <v>704</v>
      </c>
      <c r="D331" s="96" t="s">
        <v>705</v>
      </c>
      <c r="E331" s="96" t="s">
        <v>1305</v>
      </c>
      <c r="F331" s="96" t="s">
        <v>1306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  <c r="U331" s="3"/>
      <c r="V331" s="3"/>
      <c r="W331" s="3"/>
      <c r="X331" s="3"/>
      <c r="Y331" s="3"/>
      <c r="Z331" s="3"/>
    </row>
    <row r="332">
      <c r="A332" s="96" t="s">
        <v>708</v>
      </c>
      <c r="B332" s="97" t="s">
        <v>1307</v>
      </c>
      <c r="C332" s="96" t="s">
        <v>710</v>
      </c>
      <c r="D332" s="96" t="s">
        <v>711</v>
      </c>
      <c r="E332" s="96" t="s">
        <v>1308</v>
      </c>
      <c r="F332" s="96" t="s">
        <v>1309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  <c r="U332" s="3"/>
      <c r="V332" s="3"/>
      <c r="W332" s="3"/>
      <c r="X332" s="3"/>
      <c r="Y332" s="3"/>
      <c r="Z332" s="3"/>
    </row>
    <row r="333">
      <c r="A333" s="96" t="s">
        <v>714</v>
      </c>
      <c r="B333" s="97" t="s">
        <v>1310</v>
      </c>
      <c r="C333" s="96" t="s">
        <v>716</v>
      </c>
      <c r="D333" s="96" t="s">
        <v>711</v>
      </c>
      <c r="E333" s="96" t="s">
        <v>717</v>
      </c>
      <c r="F333" s="96" t="s">
        <v>1311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3"/>
      <c r="U333" s="3"/>
      <c r="V333" s="3"/>
      <c r="W333" s="3"/>
      <c r="X333" s="3"/>
      <c r="Y333" s="3"/>
      <c r="Z333" s="3"/>
    </row>
    <row r="334">
      <c r="A334" s="96" t="s">
        <v>719</v>
      </c>
      <c r="B334" s="97" t="s">
        <v>1312</v>
      </c>
      <c r="C334" s="96" t="s">
        <v>721</v>
      </c>
      <c r="D334" s="96" t="s">
        <v>722</v>
      </c>
      <c r="E334" s="96" t="s">
        <v>1313</v>
      </c>
      <c r="F334" s="97" t="s">
        <v>1314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3"/>
      <c r="U334" s="3"/>
      <c r="V334" s="3"/>
      <c r="W334" s="3"/>
      <c r="X334" s="3"/>
      <c r="Y334" s="3"/>
      <c r="Z334" s="3"/>
    </row>
    <row r="335">
      <c r="A335" s="96" t="s">
        <v>725</v>
      </c>
      <c r="B335" s="97" t="s">
        <v>1315</v>
      </c>
      <c r="C335" s="96" t="s">
        <v>1316</v>
      </c>
      <c r="D335" s="96" t="s">
        <v>728</v>
      </c>
      <c r="E335" s="96" t="s">
        <v>1317</v>
      </c>
      <c r="F335" s="96" t="s">
        <v>1318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3"/>
      <c r="U335" s="3"/>
      <c r="V335" s="3"/>
      <c r="W335" s="3"/>
      <c r="X335" s="3"/>
      <c r="Y335" s="3"/>
      <c r="Z335" s="3"/>
    </row>
    <row r="336">
      <c r="A336" s="96" t="s">
        <v>731</v>
      </c>
      <c r="B336" s="96" t="s">
        <v>732</v>
      </c>
      <c r="C336" s="96" t="s">
        <v>733</v>
      </c>
      <c r="D336" s="96" t="s">
        <v>734</v>
      </c>
      <c r="E336" s="96" t="s">
        <v>1319</v>
      </c>
      <c r="F336" s="96" t="s">
        <v>1320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/>
      <c r="U336" s="3"/>
      <c r="V336" s="3"/>
      <c r="W336" s="3"/>
      <c r="X336" s="3"/>
      <c r="Y336" s="3"/>
      <c r="Z336" s="3"/>
    </row>
    <row r="337">
      <c r="A337" s="96" t="s">
        <v>737</v>
      </c>
      <c r="B337" s="97" t="s">
        <v>1321</v>
      </c>
      <c r="C337" s="96" t="s">
        <v>739</v>
      </c>
      <c r="D337" s="96" t="s">
        <v>740</v>
      </c>
      <c r="E337" s="98">
        <f>+12014913221</f>
        <v>12014913221</v>
      </c>
      <c r="F337" s="96" t="s">
        <v>1322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3"/>
      <c r="U337" s="3"/>
      <c r="V337" s="3"/>
      <c r="W337" s="3"/>
      <c r="X337" s="3"/>
      <c r="Y337" s="3"/>
      <c r="Z337" s="3"/>
    </row>
    <row r="338">
      <c r="A338" s="96" t="s">
        <v>743</v>
      </c>
      <c r="B338" s="97" t="s">
        <v>1323</v>
      </c>
      <c r="C338" s="96" t="s">
        <v>745</v>
      </c>
      <c r="D338" s="96" t="s">
        <v>659</v>
      </c>
      <c r="E338" s="96" t="s">
        <v>1324</v>
      </c>
      <c r="F338" s="96" t="s">
        <v>1325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3"/>
      <c r="U338" s="3"/>
      <c r="V338" s="3"/>
      <c r="W338" s="3"/>
      <c r="X338" s="3"/>
      <c r="Y338" s="3"/>
      <c r="Z338" s="3"/>
    </row>
    <row r="339">
      <c r="A339" s="96" t="s">
        <v>748</v>
      </c>
      <c r="B339" s="97" t="s">
        <v>1326</v>
      </c>
      <c r="C339" s="96" t="s">
        <v>1327</v>
      </c>
      <c r="D339" s="96" t="s">
        <v>659</v>
      </c>
      <c r="E339" s="96" t="s">
        <v>1328</v>
      </c>
      <c r="F339" s="97" t="s">
        <v>1329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3"/>
      <c r="U339" s="3"/>
      <c r="V339" s="3"/>
      <c r="W339" s="3"/>
      <c r="X339" s="3"/>
      <c r="Y339" s="3"/>
      <c r="Z339" s="3"/>
    </row>
    <row r="340">
      <c r="A340" s="96" t="s">
        <v>753</v>
      </c>
      <c r="B340" s="97" t="s">
        <v>1330</v>
      </c>
      <c r="C340" s="96" t="s">
        <v>1331</v>
      </c>
      <c r="D340" s="96" t="s">
        <v>699</v>
      </c>
      <c r="E340" s="96" t="s">
        <v>1332</v>
      </c>
      <c r="F340" s="96" t="s">
        <v>1333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3"/>
      <c r="U340" s="3"/>
      <c r="V340" s="3"/>
      <c r="W340" s="3"/>
      <c r="X340" s="3"/>
      <c r="Y340" s="3"/>
      <c r="Z340" s="3"/>
    </row>
    <row r="341">
      <c r="A341" s="96" t="s">
        <v>758</v>
      </c>
      <c r="B341" s="97" t="s">
        <v>1334</v>
      </c>
      <c r="C341" s="96" t="s">
        <v>285</v>
      </c>
      <c r="D341" s="96" t="s">
        <v>1335</v>
      </c>
      <c r="E341" s="96" t="s">
        <v>761</v>
      </c>
      <c r="F341" s="97" t="s">
        <v>1336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3"/>
      <c r="U341" s="3"/>
      <c r="V341" s="3"/>
      <c r="W341" s="3"/>
      <c r="X341" s="3"/>
      <c r="Y341" s="3"/>
      <c r="Z341" s="3"/>
    </row>
    <row r="342">
      <c r="A342" s="96" t="s">
        <v>763</v>
      </c>
      <c r="B342" s="97" t="s">
        <v>1337</v>
      </c>
      <c r="C342" s="96" t="s">
        <v>765</v>
      </c>
      <c r="D342" s="96" t="s">
        <v>766</v>
      </c>
      <c r="E342" s="96" t="s">
        <v>767</v>
      </c>
      <c r="F342" s="96" t="s">
        <v>1338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3"/>
      <c r="U342" s="3"/>
      <c r="V342" s="3"/>
      <c r="W342" s="3"/>
      <c r="X342" s="3"/>
      <c r="Y342" s="3"/>
      <c r="Z342" s="3"/>
    </row>
    <row r="343">
      <c r="A343" s="96" t="s">
        <v>769</v>
      </c>
      <c r="B343" s="97" t="s">
        <v>1339</v>
      </c>
      <c r="C343" s="96" t="s">
        <v>771</v>
      </c>
      <c r="D343" s="96" t="s">
        <v>1340</v>
      </c>
      <c r="E343" s="98" t="str">
        <f>+1.4072837369, +1.4074432843 and +1.3213563370
 1.4072837369</f>
        <v>#ERROR!</v>
      </c>
      <c r="F343" s="97" t="s">
        <v>1341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3"/>
      <c r="U343" s="3"/>
      <c r="V343" s="3"/>
      <c r="W343" s="3"/>
      <c r="X343" s="3"/>
      <c r="Y343" s="3"/>
      <c r="Z343" s="3"/>
    </row>
    <row r="344">
      <c r="A344" s="96" t="s">
        <v>775</v>
      </c>
      <c r="B344" s="100" t="s">
        <v>776</v>
      </c>
      <c r="C344" s="96" t="s">
        <v>777</v>
      </c>
      <c r="D344" s="96" t="s">
        <v>778</v>
      </c>
      <c r="E344" s="96" t="s">
        <v>779</v>
      </c>
      <c r="F344" s="96" t="s">
        <v>780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3"/>
      <c r="U344" s="3"/>
      <c r="V344" s="3"/>
      <c r="W344" s="3"/>
      <c r="X344" s="3"/>
      <c r="Y344" s="3"/>
      <c r="Z344" s="3"/>
    </row>
    <row r="345">
      <c r="A345" s="96" t="s">
        <v>781</v>
      </c>
      <c r="B345" s="100" t="s">
        <v>782</v>
      </c>
      <c r="C345" s="96" t="s">
        <v>1342</v>
      </c>
      <c r="D345" s="96" t="s">
        <v>784</v>
      </c>
      <c r="E345" s="96" t="s">
        <v>1343</v>
      </c>
      <c r="F345" s="96" t="s">
        <v>1344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3"/>
      <c r="U345" s="3"/>
      <c r="V345" s="3"/>
      <c r="W345" s="3"/>
      <c r="X345" s="3"/>
      <c r="Y345" s="3"/>
      <c r="Z345" s="3"/>
    </row>
    <row r="346">
      <c r="A346" s="96" t="s">
        <v>787</v>
      </c>
      <c r="B346" s="97" t="s">
        <v>1345</v>
      </c>
      <c r="C346" s="96" t="s">
        <v>1346</v>
      </c>
      <c r="D346" s="96" t="s">
        <v>699</v>
      </c>
      <c r="E346" s="99">
        <v>5.617891001E9</v>
      </c>
      <c r="F346" s="96" t="s">
        <v>1347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3"/>
      <c r="U346" s="3"/>
      <c r="V346" s="3"/>
      <c r="W346" s="3"/>
      <c r="X346" s="3"/>
      <c r="Y346" s="3"/>
      <c r="Z346" s="3"/>
    </row>
    <row r="347">
      <c r="A347" s="96" t="s">
        <v>791</v>
      </c>
      <c r="B347" s="97" t="s">
        <v>1348</v>
      </c>
      <c r="C347" s="96" t="s">
        <v>793</v>
      </c>
      <c r="D347" s="96" t="s">
        <v>659</v>
      </c>
      <c r="E347" s="96" t="s">
        <v>1349</v>
      </c>
      <c r="F347" s="97" t="s">
        <v>1350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3"/>
      <c r="U347" s="3"/>
      <c r="V347" s="3"/>
      <c r="W347" s="3"/>
      <c r="X347" s="3"/>
      <c r="Y347" s="3"/>
      <c r="Z347" s="3"/>
    </row>
    <row r="348">
      <c r="A348" s="96" t="s">
        <v>1351</v>
      </c>
      <c r="B348" s="97" t="s">
        <v>1352</v>
      </c>
      <c r="C348" s="96" t="s">
        <v>798</v>
      </c>
      <c r="D348" s="96" t="s">
        <v>711</v>
      </c>
      <c r="E348" s="98">
        <f>+14074943425</f>
        <v>14074943425</v>
      </c>
      <c r="F348" s="97" t="s">
        <v>1353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3"/>
      <c r="U348" s="3"/>
      <c r="V348" s="3"/>
      <c r="W348" s="3"/>
      <c r="X348" s="3"/>
      <c r="Y348" s="3"/>
      <c r="Z348" s="3"/>
    </row>
    <row r="349">
      <c r="A349" s="96" t="s">
        <v>801</v>
      </c>
      <c r="B349" s="97" t="s">
        <v>1354</v>
      </c>
      <c r="C349" s="96" t="s">
        <v>803</v>
      </c>
      <c r="D349" s="96" t="s">
        <v>154</v>
      </c>
      <c r="E349" s="96" t="s">
        <v>1355</v>
      </c>
      <c r="F349" s="101" t="s">
        <v>1356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3"/>
      <c r="U349" s="3"/>
      <c r="V349" s="3"/>
      <c r="W349" s="3"/>
      <c r="X349" s="3"/>
      <c r="Y349" s="3"/>
      <c r="Z349" s="3"/>
    </row>
    <row r="350">
      <c r="A350" s="96" t="s">
        <v>1357</v>
      </c>
      <c r="B350" s="97" t="s">
        <v>1358</v>
      </c>
      <c r="C350" s="96" t="s">
        <v>808</v>
      </c>
      <c r="D350" s="96" t="s">
        <v>809</v>
      </c>
      <c r="E350" s="98" t="str">
        <f>+1.3179729270, +1.3179261727 and 317-955-8959
 3174965006</f>
        <v>#ERROR!</v>
      </c>
      <c r="F350" s="97" t="s">
        <v>1359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3"/>
      <c r="U350" s="3"/>
      <c r="V350" s="3"/>
      <c r="W350" s="3"/>
      <c r="X350" s="3"/>
      <c r="Y350" s="3"/>
      <c r="Z350" s="3"/>
    </row>
    <row r="351">
      <c r="A351" s="96" t="s">
        <v>812</v>
      </c>
      <c r="B351" s="97" t="s">
        <v>1360</v>
      </c>
      <c r="C351" s="96" t="s">
        <v>814</v>
      </c>
      <c r="D351" s="96" t="s">
        <v>659</v>
      </c>
      <c r="E351" s="98" t="str">
        <f>+1.1137356746, +1.7866605707 and +1.3053361164</f>
        <v>#ERROR!</v>
      </c>
      <c r="F351" s="97" t="s">
        <v>1361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3"/>
      <c r="U351" s="3"/>
      <c r="V351" s="3"/>
      <c r="W351" s="3"/>
      <c r="X351" s="3"/>
      <c r="Y351" s="3"/>
      <c r="Z351" s="3"/>
    </row>
    <row r="352">
      <c r="A352" s="96" t="s">
        <v>818</v>
      </c>
      <c r="B352" s="101" t="s">
        <v>819</v>
      </c>
      <c r="C352" s="96" t="s">
        <v>820</v>
      </c>
      <c r="D352" s="96" t="s">
        <v>659</v>
      </c>
      <c r="E352" s="98" t="str">
        <f>+1.3054571090 and 305.515.5473.</f>
        <v>#ERROR!</v>
      </c>
      <c r="F352" s="101" t="s">
        <v>1362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3"/>
      <c r="U352" s="3"/>
      <c r="V352" s="3"/>
      <c r="W352" s="3"/>
      <c r="X352" s="3"/>
      <c r="Y352" s="3"/>
      <c r="Z352" s="3"/>
    </row>
    <row r="353">
      <c r="A353" s="96" t="s">
        <v>823</v>
      </c>
      <c r="B353" s="97" t="s">
        <v>1363</v>
      </c>
      <c r="C353" s="96" t="s">
        <v>825</v>
      </c>
      <c r="D353" s="96" t="s">
        <v>659</v>
      </c>
      <c r="E353" s="98" t="str">
        <f>+1.4136371374 and +1.4136379820</f>
        <v>#ERROR!</v>
      </c>
      <c r="F353" s="101" t="s">
        <v>1364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3"/>
      <c r="U353" s="3"/>
      <c r="V353" s="3"/>
      <c r="W353" s="3"/>
      <c r="X353" s="3"/>
      <c r="Y353" s="3"/>
      <c r="Z353" s="3"/>
    </row>
    <row r="354">
      <c r="A354" s="96" t="s">
        <v>828</v>
      </c>
      <c r="B354" s="97" t="s">
        <v>1365</v>
      </c>
      <c r="C354" s="96" t="s">
        <v>830</v>
      </c>
      <c r="D354" s="96" t="s">
        <v>659</v>
      </c>
      <c r="E354" s="98">
        <f>+13059517707</f>
        <v>13059517707</v>
      </c>
      <c r="F354" s="96" t="s">
        <v>1366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3"/>
      <c r="U354" s="3"/>
      <c r="V354" s="3"/>
      <c r="W354" s="3"/>
      <c r="X354" s="3"/>
      <c r="Y354" s="3"/>
      <c r="Z354" s="3"/>
    </row>
    <row r="355">
      <c r="A355" s="96" t="s">
        <v>833</v>
      </c>
      <c r="B355" s="97" t="s">
        <v>1367</v>
      </c>
      <c r="C355" s="96" t="s">
        <v>835</v>
      </c>
      <c r="D355" s="96" t="s">
        <v>766</v>
      </c>
      <c r="E355" s="98" t="str">
        <f>+1.8137777266.</f>
        <v>#ERROR!</v>
      </c>
      <c r="F355" s="101" t="s">
        <v>1368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3"/>
      <c r="U355" s="3"/>
      <c r="V355" s="3"/>
      <c r="W355" s="3"/>
      <c r="X355" s="3"/>
      <c r="Y355" s="3"/>
      <c r="Z355" s="3"/>
    </row>
    <row r="356">
      <c r="A356" s="96" t="s">
        <v>838</v>
      </c>
      <c r="B356" s="97" t="s">
        <v>1369</v>
      </c>
      <c r="C356" s="96" t="s">
        <v>840</v>
      </c>
      <c r="D356" s="96" t="s">
        <v>740</v>
      </c>
      <c r="E356" s="98" t="str">
        <f>+850.9608646, +1.5617037604, +1.5619649770, +1.8006430804 and +1.5615941750</f>
        <v>#ERROR!</v>
      </c>
      <c r="F356" s="101" t="s">
        <v>1370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3"/>
      <c r="U356" s="3"/>
      <c r="V356" s="3"/>
      <c r="W356" s="3"/>
      <c r="X356" s="3"/>
      <c r="Y356" s="3"/>
      <c r="Z356" s="3"/>
    </row>
    <row r="357">
      <c r="A357" s="96" t="s">
        <v>843</v>
      </c>
      <c r="B357" s="97" t="s">
        <v>1371</v>
      </c>
      <c r="C357" s="96" t="s">
        <v>845</v>
      </c>
      <c r="D357" s="96" t="s">
        <v>1372</v>
      </c>
      <c r="E357" s="98">
        <f>+1.347670305</f>
        <v>1.347670305</v>
      </c>
      <c r="F357" s="101" t="s">
        <v>848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3"/>
      <c r="U357" s="3"/>
      <c r="V357" s="3"/>
      <c r="W357" s="3"/>
      <c r="X357" s="3"/>
      <c r="Y357" s="3"/>
      <c r="Z357" s="3"/>
    </row>
    <row r="358">
      <c r="A358" s="96" t="s">
        <v>849</v>
      </c>
      <c r="B358" s="97" t="s">
        <v>1373</v>
      </c>
      <c r="C358" s="96" t="s">
        <v>1374</v>
      </c>
      <c r="D358" s="96" t="s">
        <v>1375</v>
      </c>
      <c r="E358" s="98">
        <f>+1.3862555556</f>
        <v>1.386255556</v>
      </c>
      <c r="F358" s="97" t="s">
        <v>1376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3"/>
      <c r="U358" s="3"/>
      <c r="V358" s="3"/>
      <c r="W358" s="3"/>
      <c r="X358" s="3"/>
      <c r="Y358" s="3"/>
      <c r="Z358" s="3"/>
    </row>
    <row r="359">
      <c r="A359" s="96" t="s">
        <v>855</v>
      </c>
      <c r="B359" s="97" t="s">
        <v>1377</v>
      </c>
      <c r="C359" s="96" t="s">
        <v>857</v>
      </c>
      <c r="D359" s="96" t="s">
        <v>1378</v>
      </c>
      <c r="E359" s="96" t="s">
        <v>859</v>
      </c>
      <c r="F359" s="101" t="s">
        <v>1379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3"/>
      <c r="U359" s="3"/>
      <c r="V359" s="3"/>
      <c r="W359" s="3"/>
      <c r="X359" s="3"/>
      <c r="Y359" s="3"/>
      <c r="Z359" s="3"/>
    </row>
    <row r="360">
      <c r="A360" s="96" t="s">
        <v>861</v>
      </c>
      <c r="B360" s="97" t="s">
        <v>1380</v>
      </c>
      <c r="C360" s="96" t="s">
        <v>863</v>
      </c>
      <c r="D360" s="96" t="s">
        <v>864</v>
      </c>
      <c r="E360" s="98" t="str">
        <f>+15187551622 and +17608488289</f>
        <v>#ERROR!</v>
      </c>
      <c r="F360" s="101" t="s">
        <v>1381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3"/>
      <c r="U360" s="3"/>
      <c r="V360" s="3"/>
      <c r="W360" s="3"/>
      <c r="X360" s="3"/>
      <c r="Y360" s="3"/>
      <c r="Z360" s="3"/>
    </row>
    <row r="361">
      <c r="A361" s="96" t="s">
        <v>867</v>
      </c>
      <c r="B361" s="97" t="s">
        <v>1382</v>
      </c>
      <c r="C361" s="96" t="s">
        <v>869</v>
      </c>
      <c r="D361" s="96" t="s">
        <v>659</v>
      </c>
      <c r="E361" s="96" t="s">
        <v>1383</v>
      </c>
      <c r="F361" s="101" t="s">
        <v>1384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3"/>
      <c r="U361" s="3"/>
      <c r="V361" s="3"/>
      <c r="W361" s="3"/>
      <c r="X361" s="3"/>
      <c r="Y361" s="3"/>
      <c r="Z361" s="3"/>
    </row>
    <row r="362">
      <c r="A362" s="96" t="s">
        <v>1385</v>
      </c>
      <c r="B362" s="97" t="s">
        <v>1386</v>
      </c>
      <c r="C362" s="96" t="s">
        <v>874</v>
      </c>
      <c r="D362" s="96" t="s">
        <v>665</v>
      </c>
      <c r="E362" s="98">
        <f>+1.4076079229</f>
        <v>1.407607923</v>
      </c>
      <c r="F362" s="96" t="s">
        <v>1387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3"/>
      <c r="U362" s="3"/>
      <c r="V362" s="3"/>
      <c r="W362" s="3"/>
      <c r="X362" s="3"/>
      <c r="Y362" s="3"/>
      <c r="Z362" s="3"/>
    </row>
    <row r="363">
      <c r="A363" s="96" t="s">
        <v>878</v>
      </c>
      <c r="B363" s="97" t="s">
        <v>1388</v>
      </c>
      <c r="C363" s="96" t="s">
        <v>880</v>
      </c>
      <c r="D363" s="96" t="s">
        <v>1389</v>
      </c>
      <c r="E363" s="99">
        <v>1.4028028715E10</v>
      </c>
      <c r="F363" s="97" t="s">
        <v>1390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3"/>
      <c r="U363" s="3"/>
      <c r="V363" s="3"/>
      <c r="W363" s="3"/>
      <c r="X363" s="3"/>
      <c r="Y363" s="3"/>
      <c r="Z363" s="3"/>
    </row>
    <row r="364">
      <c r="A364" s="96" t="s">
        <v>883</v>
      </c>
      <c r="B364" s="101" t="s">
        <v>884</v>
      </c>
      <c r="C364" s="96" t="s">
        <v>885</v>
      </c>
      <c r="D364" s="96" t="s">
        <v>740</v>
      </c>
      <c r="E364" s="98">
        <f>+1.7862780818</f>
        <v>1.786278082</v>
      </c>
      <c r="F364" s="101" t="s">
        <v>1391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3"/>
      <c r="U364" s="3"/>
      <c r="V364" s="3"/>
      <c r="W364" s="3"/>
      <c r="X364" s="3"/>
      <c r="Y364" s="3"/>
      <c r="Z364" s="3"/>
    </row>
    <row r="365">
      <c r="A365" s="96" t="s">
        <v>888</v>
      </c>
      <c r="B365" s="101" t="s">
        <v>889</v>
      </c>
      <c r="C365" s="96" t="s">
        <v>890</v>
      </c>
      <c r="D365" s="96" t="s">
        <v>154</v>
      </c>
      <c r="E365" s="96" t="s">
        <v>1392</v>
      </c>
      <c r="F365" s="101" t="s">
        <v>1393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3"/>
      <c r="U365" s="3"/>
      <c r="V365" s="3"/>
      <c r="W365" s="3"/>
      <c r="X365" s="3"/>
      <c r="Y365" s="3"/>
      <c r="Z365" s="3"/>
    </row>
    <row r="366">
      <c r="A366" s="96" t="s">
        <v>893</v>
      </c>
      <c r="B366" s="97" t="s">
        <v>1394</v>
      </c>
      <c r="C366" s="96" t="s">
        <v>895</v>
      </c>
      <c r="D366" s="96" t="s">
        <v>896</v>
      </c>
      <c r="E366" s="96" t="s">
        <v>897</v>
      </c>
      <c r="F366" s="97" t="s">
        <v>1395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3"/>
      <c r="U366" s="3"/>
      <c r="V366" s="3"/>
      <c r="W366" s="3"/>
      <c r="X366" s="3"/>
      <c r="Y366" s="3"/>
      <c r="Z366" s="3"/>
    </row>
    <row r="367">
      <c r="A367" s="96" t="s">
        <v>899</v>
      </c>
      <c r="B367" s="97" t="s">
        <v>1396</v>
      </c>
      <c r="C367" s="96" t="s">
        <v>901</v>
      </c>
      <c r="D367" s="96" t="s">
        <v>659</v>
      </c>
      <c r="E367" s="98">
        <f>+17865217645
 +19562223629</f>
        <v>37427441274</v>
      </c>
      <c r="F367" s="101" t="s">
        <v>1397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3"/>
      <c r="U367" s="3"/>
      <c r="V367" s="3"/>
      <c r="W367" s="3"/>
      <c r="X367" s="3"/>
      <c r="Y367" s="3"/>
      <c r="Z367" s="3"/>
    </row>
    <row r="368">
      <c r="A368" s="96" t="s">
        <v>904</v>
      </c>
      <c r="B368" s="97" t="s">
        <v>1398</v>
      </c>
      <c r="C368" s="96" t="s">
        <v>906</v>
      </c>
      <c r="D368" s="96" t="s">
        <v>665</v>
      </c>
      <c r="E368" s="98" t="str">
        <f>+14075390948 and +14076207106</f>
        <v>#ERROR!</v>
      </c>
      <c r="F368" s="101" t="s">
        <v>1399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3"/>
      <c r="U368" s="3"/>
      <c r="V368" s="3"/>
      <c r="W368" s="3"/>
      <c r="X368" s="3"/>
      <c r="Y368" s="3"/>
      <c r="Z368" s="3"/>
    </row>
    <row r="369">
      <c r="A369" s="96" t="s">
        <v>909</v>
      </c>
      <c r="B369" s="101" t="s">
        <v>910</v>
      </c>
      <c r="C369" s="96" t="s">
        <v>1400</v>
      </c>
      <c r="D369" s="96" t="s">
        <v>154</v>
      </c>
      <c r="E369" s="96" t="s">
        <v>912</v>
      </c>
      <c r="F369" s="101" t="s">
        <v>1401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3"/>
      <c r="U369" s="3"/>
      <c r="V369" s="3"/>
      <c r="W369" s="3"/>
      <c r="X369" s="3"/>
      <c r="Y369" s="3"/>
      <c r="Z369" s="3"/>
    </row>
    <row r="370">
      <c r="A370" s="96" t="s">
        <v>914</v>
      </c>
      <c r="B370" s="97" t="s">
        <v>1402</v>
      </c>
      <c r="C370" s="96" t="s">
        <v>916</v>
      </c>
      <c r="D370" s="96" t="s">
        <v>671</v>
      </c>
      <c r="E370" s="96" t="s">
        <v>917</v>
      </c>
      <c r="F370" s="101" t="s">
        <v>1403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3"/>
      <c r="U370" s="3"/>
      <c r="V370" s="3"/>
      <c r="W370" s="3"/>
      <c r="X370" s="3"/>
      <c r="Y370" s="3"/>
      <c r="Z370" s="3"/>
    </row>
    <row r="371">
      <c r="A371" s="96" t="s">
        <v>919</v>
      </c>
      <c r="B371" s="101" t="s">
        <v>920</v>
      </c>
      <c r="C371" s="96" t="s">
        <v>921</v>
      </c>
      <c r="D371" s="96" t="s">
        <v>809</v>
      </c>
      <c r="E371" s="98" t="str">
        <f>+1.4166408148, +1.9172707184 and 727.851.9596</f>
        <v>#ERROR!</v>
      </c>
      <c r="F371" s="101" t="s">
        <v>923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3"/>
      <c r="U371" s="3"/>
      <c r="V371" s="3"/>
      <c r="W371" s="3"/>
      <c r="X371" s="3"/>
      <c r="Y371" s="3"/>
      <c r="Z371" s="3"/>
    </row>
    <row r="372">
      <c r="A372" s="96" t="s">
        <v>924</v>
      </c>
      <c r="B372" s="97" t="s">
        <v>1404</v>
      </c>
      <c r="C372" s="96" t="s">
        <v>926</v>
      </c>
      <c r="D372" s="96" t="s">
        <v>1405</v>
      </c>
      <c r="E372" s="98">
        <f>+1.4013393381</f>
        <v>1.401339338</v>
      </c>
      <c r="F372" s="97" t="s">
        <v>1406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3"/>
      <c r="U372" s="3"/>
      <c r="V372" s="3"/>
      <c r="W372" s="3"/>
      <c r="X372" s="3"/>
      <c r="Y372" s="3"/>
      <c r="Z372" s="3"/>
    </row>
    <row r="373">
      <c r="A373" s="96" t="s">
        <v>930</v>
      </c>
      <c r="B373" s="97" t="s">
        <v>1407</v>
      </c>
      <c r="C373" s="96" t="s">
        <v>932</v>
      </c>
      <c r="D373" s="96" t="s">
        <v>766</v>
      </c>
      <c r="E373" s="98" t="str">
        <f>+16122323273 and +15717899343</f>
        <v>#ERROR!</v>
      </c>
      <c r="F373" s="97" t="s">
        <v>1408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3"/>
      <c r="U373" s="3"/>
      <c r="V373" s="3"/>
      <c r="W373" s="3"/>
      <c r="X373" s="3"/>
      <c r="Y373" s="3"/>
      <c r="Z373" s="3"/>
    </row>
    <row r="374">
      <c r="A374" s="96" t="s">
        <v>935</v>
      </c>
      <c r="B374" s="97" t="s">
        <v>1409</v>
      </c>
      <c r="C374" s="96" t="s">
        <v>937</v>
      </c>
      <c r="D374" s="96" t="s">
        <v>938</v>
      </c>
      <c r="E374" s="98" t="str">
        <f>+1.7329383999 and 6096188909</f>
        <v>#ERROR!</v>
      </c>
      <c r="F374" s="101" t="s">
        <v>940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3"/>
      <c r="U374" s="3"/>
      <c r="V374" s="3"/>
      <c r="W374" s="3"/>
      <c r="X374" s="3"/>
      <c r="Y374" s="3"/>
      <c r="Z374" s="3"/>
    </row>
    <row r="375">
      <c r="A375" s="96" t="s">
        <v>941</v>
      </c>
      <c r="B375" s="101" t="s">
        <v>942</v>
      </c>
      <c r="C375" s="96" t="s">
        <v>1410</v>
      </c>
      <c r="D375" s="96" t="s">
        <v>665</v>
      </c>
      <c r="E375" s="98">
        <f>+16199224459
 +12818407912</f>
        <v>29017632371</v>
      </c>
      <c r="F375" s="101" t="s">
        <v>1411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3"/>
      <c r="U375" s="3"/>
      <c r="V375" s="3"/>
      <c r="W375" s="3"/>
      <c r="X375" s="3"/>
      <c r="Y375" s="3"/>
      <c r="Z375" s="3"/>
    </row>
    <row r="376">
      <c r="A376" s="96" t="s">
        <v>946</v>
      </c>
      <c r="B376" s="97" t="s">
        <v>1412</v>
      </c>
      <c r="C376" s="96" t="s">
        <v>948</v>
      </c>
      <c r="D376" s="96" t="s">
        <v>949</v>
      </c>
      <c r="E376" s="98" t="str">
        <f>+1.3055080788, +1.7865166660 and 3059624782</f>
        <v>#ERROR!</v>
      </c>
      <c r="F376" s="101" t="s">
        <v>951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3"/>
      <c r="U376" s="3"/>
      <c r="V376" s="3"/>
      <c r="W376" s="3"/>
      <c r="X376" s="3"/>
      <c r="Y376" s="3"/>
      <c r="Z376" s="3"/>
    </row>
    <row r="377">
      <c r="A377" s="96" t="s">
        <v>952</v>
      </c>
      <c r="B377" s="97" t="s">
        <v>1413</v>
      </c>
      <c r="C377" s="96" t="s">
        <v>954</v>
      </c>
      <c r="D377" s="96" t="s">
        <v>972</v>
      </c>
      <c r="E377" s="98">
        <f>+1.31278444</f>
        <v>1.31278444</v>
      </c>
      <c r="F377" s="101" t="s">
        <v>1414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3"/>
      <c r="U377" s="3"/>
      <c r="V377" s="3"/>
      <c r="W377" s="3"/>
      <c r="X377" s="3"/>
      <c r="Y377" s="3"/>
      <c r="Z377" s="3"/>
    </row>
    <row r="378">
      <c r="A378" s="96" t="s">
        <v>958</v>
      </c>
      <c r="B378" s="97" t="s">
        <v>1415</v>
      </c>
      <c r="C378" s="96" t="s">
        <v>960</v>
      </c>
      <c r="D378" s="96" t="s">
        <v>938</v>
      </c>
      <c r="E378" s="98">
        <f>+17274091609
 +17275152145</f>
        <v>34549243754</v>
      </c>
      <c r="F378" s="101" t="s">
        <v>1416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3"/>
      <c r="U378" s="3"/>
      <c r="V378" s="3"/>
      <c r="W378" s="3"/>
      <c r="X378" s="3"/>
      <c r="Y378" s="3"/>
      <c r="Z378" s="3"/>
    </row>
    <row r="379">
      <c r="A379" s="96" t="s">
        <v>963</v>
      </c>
      <c r="B379" s="97" t="s">
        <v>1417</v>
      </c>
      <c r="C379" s="96" t="s">
        <v>965</v>
      </c>
      <c r="D379" s="96" t="s">
        <v>966</v>
      </c>
      <c r="E379" s="96" t="s">
        <v>967</v>
      </c>
      <c r="F379" s="101" t="s">
        <v>1418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3"/>
      <c r="U379" s="3"/>
      <c r="V379" s="3"/>
      <c r="W379" s="3"/>
      <c r="X379" s="3"/>
      <c r="Y379" s="3"/>
      <c r="Z379" s="3"/>
    </row>
    <row r="380">
      <c r="A380" s="96" t="s">
        <v>969</v>
      </c>
      <c r="B380" s="97" t="s">
        <v>1419</v>
      </c>
      <c r="C380" s="96" t="s">
        <v>971</v>
      </c>
      <c r="D380" s="96" t="s">
        <v>972</v>
      </c>
      <c r="E380" s="98" t="str">
        <f>+1.2246539595 and(847) 885-5870</f>
        <v>#ERROR!</v>
      </c>
      <c r="F380" s="102" t="s">
        <v>1420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3"/>
      <c r="U380" s="3"/>
      <c r="V380" s="3"/>
      <c r="W380" s="3"/>
      <c r="X380" s="3"/>
      <c r="Y380" s="3"/>
      <c r="Z380" s="3"/>
    </row>
    <row r="381">
      <c r="A381" s="96" t="s">
        <v>975</v>
      </c>
      <c r="B381" s="97" t="s">
        <v>1421</v>
      </c>
      <c r="C381" s="96" t="s">
        <v>977</v>
      </c>
      <c r="D381" s="96" t="s">
        <v>978</v>
      </c>
      <c r="E381" s="98" t="str">
        <f>+19043862207, +13522625918 and(904) 607-0026</f>
        <v>#ERROR!</v>
      </c>
      <c r="F381" s="101" t="s">
        <v>1422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3"/>
      <c r="U381" s="3"/>
      <c r="V381" s="3"/>
      <c r="W381" s="3"/>
      <c r="X381" s="3"/>
      <c r="Y381" s="3"/>
      <c r="Z381" s="3"/>
    </row>
    <row r="382">
      <c r="A382" s="96" t="s">
        <v>1423</v>
      </c>
      <c r="B382" s="97" t="s">
        <v>1424</v>
      </c>
      <c r="C382" s="96" t="s">
        <v>983</v>
      </c>
      <c r="D382" s="96" t="s">
        <v>984</v>
      </c>
      <c r="E382" s="98" t="str">
        <f>+1.9044500874, +1.9043370609 and +1.9043561110</f>
        <v>#ERROR!</v>
      </c>
      <c r="F382" s="101" t="s">
        <v>1425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3"/>
      <c r="U382" s="3"/>
      <c r="V382" s="3"/>
      <c r="W382" s="3"/>
      <c r="X382" s="3"/>
      <c r="Y382" s="3"/>
      <c r="Z382" s="3"/>
    </row>
    <row r="383">
      <c r="A383" s="96" t="s">
        <v>987</v>
      </c>
      <c r="B383" s="97" t="s">
        <v>1426</v>
      </c>
      <c r="C383" s="96" t="s">
        <v>989</v>
      </c>
      <c r="D383" s="96" t="s">
        <v>1427</v>
      </c>
      <c r="E383" s="96" t="s">
        <v>991</v>
      </c>
      <c r="F383" s="97" t="s">
        <v>1428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3"/>
      <c r="U383" s="3"/>
      <c r="V383" s="3"/>
      <c r="W383" s="3"/>
      <c r="X383" s="3"/>
      <c r="Y383" s="3"/>
      <c r="Z383" s="3"/>
    </row>
    <row r="384">
      <c r="A384" s="96" t="s">
        <v>993</v>
      </c>
      <c r="B384" s="97" t="s">
        <v>1429</v>
      </c>
      <c r="C384" s="96" t="s">
        <v>995</v>
      </c>
      <c r="D384" s="96" t="s">
        <v>996</v>
      </c>
      <c r="E384" s="96" t="s">
        <v>1430</v>
      </c>
      <c r="F384" s="101" t="s">
        <v>1431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3"/>
      <c r="U384" s="3"/>
      <c r="V384" s="3"/>
      <c r="W384" s="3"/>
      <c r="X384" s="3"/>
      <c r="Y384" s="3"/>
      <c r="Z384" s="3"/>
    </row>
    <row r="385">
      <c r="A385" s="96" t="s">
        <v>999</v>
      </c>
      <c r="B385" s="97" t="s">
        <v>1432</v>
      </c>
      <c r="C385" s="96" t="s">
        <v>1001</v>
      </c>
      <c r="D385" s="96" t="s">
        <v>1002</v>
      </c>
      <c r="E385" s="98" t="str">
        <f>+19544919969 and(602) 276 9246</f>
        <v>#ERROR!</v>
      </c>
      <c r="F385" s="101" t="s">
        <v>1433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3"/>
      <c r="U385" s="3"/>
      <c r="V385" s="3"/>
      <c r="W385" s="3"/>
      <c r="X385" s="3"/>
      <c r="Y385" s="3"/>
      <c r="Z385" s="3"/>
    </row>
    <row r="386">
      <c r="A386" s="96" t="s">
        <v>1005</v>
      </c>
      <c r="B386" s="97" t="s">
        <v>1434</v>
      </c>
      <c r="C386" s="96" t="s">
        <v>1007</v>
      </c>
      <c r="D386" s="96" t="s">
        <v>1008</v>
      </c>
      <c r="E386" s="96" t="s">
        <v>1009</v>
      </c>
      <c r="F386" s="101" t="s">
        <v>1435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3"/>
      <c r="U386" s="3"/>
      <c r="V386" s="3"/>
      <c r="W386" s="3"/>
      <c r="X386" s="3"/>
      <c r="Y386" s="3"/>
      <c r="Z386" s="3"/>
    </row>
    <row r="387">
      <c r="A387" s="96" t="s">
        <v>1011</v>
      </c>
      <c r="B387" s="97" t="s">
        <v>1436</v>
      </c>
      <c r="C387" s="96" t="s">
        <v>1013</v>
      </c>
      <c r="D387" s="96" t="s">
        <v>711</v>
      </c>
      <c r="E387" s="98">
        <f>+14073250294</f>
        <v>14073250294</v>
      </c>
      <c r="F387" s="101" t="s">
        <v>1437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3"/>
      <c r="U387" s="3"/>
      <c r="V387" s="3"/>
      <c r="W387" s="3"/>
      <c r="X387" s="3"/>
      <c r="Y387" s="3"/>
      <c r="Z387" s="3"/>
    </row>
    <row r="388">
      <c r="A388" s="96" t="s">
        <v>1016</v>
      </c>
      <c r="B388" s="97" t="s">
        <v>1438</v>
      </c>
      <c r="C388" s="96" t="s">
        <v>1018</v>
      </c>
      <c r="D388" s="96" t="s">
        <v>711</v>
      </c>
      <c r="E388" s="98" t="str">
        <f>+15743642816, +15743704383, +15745352445 or 5742932481</f>
        <v>#ERROR!</v>
      </c>
      <c r="F388" s="101" t="s">
        <v>1439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3"/>
      <c r="U388" s="3"/>
      <c r="V388" s="3"/>
      <c r="W388" s="3"/>
      <c r="X388" s="3"/>
      <c r="Y388" s="3"/>
      <c r="Z388" s="3"/>
    </row>
    <row r="389">
      <c r="A389" s="96" t="s">
        <v>1440</v>
      </c>
      <c r="B389" s="97" t="s">
        <v>1441</v>
      </c>
      <c r="C389" s="96" t="s">
        <v>1023</v>
      </c>
      <c r="D389" s="96" t="s">
        <v>659</v>
      </c>
      <c r="E389" s="98" t="str">
        <f>+1.8092414463 and +18295489782</f>
        <v>#ERROR!</v>
      </c>
      <c r="F389" s="101" t="s">
        <v>1442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3"/>
      <c r="U389" s="3"/>
      <c r="V389" s="3"/>
      <c r="W389" s="3"/>
      <c r="X389" s="3"/>
      <c r="Y389" s="3"/>
      <c r="Z389" s="3"/>
    </row>
    <row r="390">
      <c r="A390" s="96" t="s">
        <v>1026</v>
      </c>
      <c r="B390" s="97" t="s">
        <v>1443</v>
      </c>
      <c r="C390" s="96" t="s">
        <v>1028</v>
      </c>
      <c r="D390" s="96" t="s">
        <v>1029</v>
      </c>
      <c r="E390" s="98" t="str">
        <f>+1.3152439855, 2026640885 and 2022615000</f>
        <v>#ERROR!</v>
      </c>
      <c r="F390" s="103" t="s">
        <v>1444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3"/>
      <c r="U390" s="3"/>
      <c r="V390" s="3"/>
      <c r="W390" s="3"/>
      <c r="X390" s="3"/>
      <c r="Y390" s="3"/>
      <c r="Z390" s="3"/>
    </row>
    <row r="391">
      <c r="A391" s="100" t="s">
        <v>1032</v>
      </c>
      <c r="B391" s="97" t="s">
        <v>1445</v>
      </c>
      <c r="C391" s="96" t="s">
        <v>1034</v>
      </c>
      <c r="D391" s="96" t="s">
        <v>1035</v>
      </c>
      <c r="E391" s="96" t="s">
        <v>1036</v>
      </c>
      <c r="F391" s="101" t="s">
        <v>1446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3"/>
      <c r="U391" s="3"/>
      <c r="V391" s="3"/>
      <c r="W391" s="3"/>
      <c r="X391" s="3"/>
      <c r="Y391" s="3"/>
      <c r="Z391" s="3"/>
    </row>
    <row r="392">
      <c r="A392" s="96" t="s">
        <v>1038</v>
      </c>
      <c r="B392" s="97" t="s">
        <v>1447</v>
      </c>
      <c r="C392" s="96" t="s">
        <v>1448</v>
      </c>
      <c r="D392" s="96" t="s">
        <v>711</v>
      </c>
      <c r="E392" s="98" t="str">
        <f>+12034686255 and +19702105666</f>
        <v>#ERROR!</v>
      </c>
      <c r="F392" s="101" t="s">
        <v>1449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3"/>
      <c r="U392" s="3"/>
      <c r="V392" s="3"/>
      <c r="W392" s="3"/>
      <c r="X392" s="3"/>
      <c r="Y392" s="3"/>
      <c r="Z392" s="3"/>
    </row>
    <row r="393">
      <c r="A393" s="96" t="s">
        <v>1043</v>
      </c>
      <c r="B393" s="97" t="s">
        <v>1450</v>
      </c>
      <c r="C393" s="96" t="s">
        <v>1045</v>
      </c>
      <c r="D393" s="96" t="s">
        <v>1046</v>
      </c>
      <c r="E393" s="96" t="s">
        <v>1047</v>
      </c>
      <c r="F393" s="101" t="s">
        <v>1451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3"/>
      <c r="U393" s="3"/>
      <c r="V393" s="3"/>
      <c r="W393" s="3"/>
      <c r="X393" s="3"/>
      <c r="Y393" s="3"/>
      <c r="Z393" s="3"/>
    </row>
    <row r="394">
      <c r="A394" s="96" t="s">
        <v>1049</v>
      </c>
      <c r="B394" s="101" t="s">
        <v>1452</v>
      </c>
      <c r="C394" s="96" t="s">
        <v>1453</v>
      </c>
      <c r="D394" s="96" t="s">
        <v>1454</v>
      </c>
      <c r="E394" s="98">
        <f>+1.9544222232</f>
        <v>1.954422223</v>
      </c>
      <c r="F394" s="101" t="s">
        <v>1054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3"/>
      <c r="U394" s="3"/>
      <c r="V394" s="3"/>
      <c r="W394" s="3"/>
      <c r="X394" s="3"/>
      <c r="Y394" s="3"/>
      <c r="Z394" s="3"/>
    </row>
    <row r="395">
      <c r="A395" s="96" t="s">
        <v>1055</v>
      </c>
      <c r="B395" s="97" t="s">
        <v>1455</v>
      </c>
      <c r="C395" s="96" t="s">
        <v>1057</v>
      </c>
      <c r="D395" s="96" t="s">
        <v>1456</v>
      </c>
      <c r="E395" s="99">
        <v>3.344777681E9</v>
      </c>
      <c r="F395" s="101" t="s">
        <v>1457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3"/>
      <c r="U395" s="3"/>
      <c r="V395" s="3"/>
      <c r="W395" s="3"/>
      <c r="X395" s="3"/>
      <c r="Y395" s="3"/>
      <c r="Z395" s="3"/>
    </row>
    <row r="396">
      <c r="A396" s="96" t="s">
        <v>1060</v>
      </c>
      <c r="B396" s="101" t="s">
        <v>1061</v>
      </c>
      <c r="C396" s="96" t="s">
        <v>1062</v>
      </c>
      <c r="D396" s="96" t="s">
        <v>1035</v>
      </c>
      <c r="E396" s="96" t="s">
        <v>1063</v>
      </c>
      <c r="F396" s="101" t="s">
        <v>1064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3"/>
      <c r="U396" s="3"/>
      <c r="V396" s="3"/>
      <c r="W396" s="3"/>
      <c r="X396" s="3"/>
      <c r="Y396" s="3"/>
      <c r="Z396" s="3"/>
    </row>
    <row r="397">
      <c r="A397" s="96" t="s">
        <v>1065</v>
      </c>
      <c r="B397" s="101" t="s">
        <v>1066</v>
      </c>
      <c r="C397" s="96" t="s">
        <v>1067</v>
      </c>
      <c r="D397" s="96" t="s">
        <v>1458</v>
      </c>
      <c r="E397" s="98">
        <f>+57.3146925063</f>
        <v>57.31469251</v>
      </c>
      <c r="F397" s="97" t="s">
        <v>1459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3"/>
      <c r="U397" s="3"/>
      <c r="V397" s="3"/>
      <c r="W397" s="3"/>
      <c r="X397" s="3"/>
      <c r="Y397" s="3"/>
      <c r="Z397" s="3"/>
    </row>
    <row r="398">
      <c r="A398" s="96" t="s">
        <v>1071</v>
      </c>
      <c r="B398" s="97" t="s">
        <v>1460</v>
      </c>
      <c r="C398" s="96" t="s">
        <v>1073</v>
      </c>
      <c r="D398" s="96" t="s">
        <v>659</v>
      </c>
      <c r="E398" s="98" t="str">
        <f>+1 (305)-846-6292</f>
        <v>#ERROR!</v>
      </c>
      <c r="F398" s="102" t="s">
        <v>1461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3"/>
      <c r="U398" s="3"/>
      <c r="V398" s="3"/>
      <c r="W398" s="3"/>
      <c r="X398" s="3"/>
      <c r="Y398" s="3"/>
      <c r="Z398" s="3"/>
    </row>
    <row r="399">
      <c r="A399" s="96" t="s">
        <v>1076</v>
      </c>
      <c r="B399" s="97" t="s">
        <v>1462</v>
      </c>
      <c r="C399" s="96" t="s">
        <v>1078</v>
      </c>
      <c r="D399" s="96" t="s">
        <v>1463</v>
      </c>
      <c r="E399" s="99">
        <v>3.867951302E9</v>
      </c>
      <c r="F399" s="101" t="s">
        <v>1464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3"/>
      <c r="U399" s="3"/>
      <c r="V399" s="3"/>
      <c r="W399" s="3"/>
      <c r="X399" s="3"/>
      <c r="Y399" s="3"/>
      <c r="Z399" s="3"/>
    </row>
    <row r="400">
      <c r="A400" s="96" t="s">
        <v>1081</v>
      </c>
      <c r="B400" s="97" t="s">
        <v>1465</v>
      </c>
      <c r="C400" s="96" t="s">
        <v>1083</v>
      </c>
      <c r="D400" s="96" t="s">
        <v>1084</v>
      </c>
      <c r="E400" s="98" t="str">
        <f>+1.19415649328, +1.9413506680, +1.9419213785, 941-485-0507 and(888) 456-2083</f>
        <v>#ERROR!</v>
      </c>
      <c r="F400" s="101" t="s">
        <v>1086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3"/>
      <c r="U400" s="3"/>
      <c r="V400" s="3"/>
      <c r="W400" s="3"/>
      <c r="X400" s="3"/>
      <c r="Y400" s="3"/>
      <c r="Z400" s="3"/>
    </row>
    <row r="401">
      <c r="A401" s="96" t="s">
        <v>1087</v>
      </c>
      <c r="B401" s="97" t="s">
        <v>1466</v>
      </c>
      <c r="C401" s="96" t="s">
        <v>1089</v>
      </c>
      <c r="D401" s="96" t="s">
        <v>1116</v>
      </c>
      <c r="E401" s="98" t="str">
        <f>+19545522112 and +19544373103</f>
        <v>#ERROR!</v>
      </c>
      <c r="F401" s="101" t="s">
        <v>1467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3"/>
      <c r="U401" s="3"/>
      <c r="V401" s="3"/>
      <c r="W401" s="3"/>
      <c r="X401" s="3"/>
      <c r="Y401" s="3"/>
      <c r="Z401" s="3"/>
    </row>
    <row r="402">
      <c r="A402" s="96" t="s">
        <v>1468</v>
      </c>
      <c r="B402" s="97" t="s">
        <v>1469</v>
      </c>
      <c r="C402" s="96" t="s">
        <v>1470</v>
      </c>
      <c r="D402" s="96" t="s">
        <v>766</v>
      </c>
      <c r="E402" s="98" t="str">
        <f>+1.8132278006 and 8475501515</f>
        <v>#ERROR!</v>
      </c>
      <c r="F402" s="101" t="s">
        <v>1097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3"/>
      <c r="U402" s="3"/>
      <c r="V402" s="3"/>
      <c r="W402" s="3"/>
      <c r="X402" s="3"/>
      <c r="Y402" s="3"/>
      <c r="Z402" s="3"/>
    </row>
    <row r="403">
      <c r="A403" s="96" t="s">
        <v>1098</v>
      </c>
      <c r="B403" s="97" t="s">
        <v>1471</v>
      </c>
      <c r="C403" s="96" t="s">
        <v>1100</v>
      </c>
      <c r="D403" s="96" t="s">
        <v>766</v>
      </c>
      <c r="E403" s="98" t="str">
        <f>+18133404593 and +19048860779</f>
        <v>#ERROR!</v>
      </c>
      <c r="F403" s="101" t="s">
        <v>1472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3"/>
      <c r="U403" s="3"/>
      <c r="V403" s="3"/>
      <c r="W403" s="3"/>
      <c r="X403" s="3"/>
      <c r="Y403" s="3"/>
      <c r="Z403" s="3"/>
    </row>
    <row r="404">
      <c r="A404" s="96" t="s">
        <v>1103</v>
      </c>
      <c r="B404" s="97" t="s">
        <v>1473</v>
      </c>
      <c r="C404" s="96" t="s">
        <v>1105</v>
      </c>
      <c r="D404" s="96" t="s">
        <v>1106</v>
      </c>
      <c r="E404" s="99">
        <v>1.7704098522E10</v>
      </c>
      <c r="F404" s="101" t="s">
        <v>1474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3"/>
      <c r="U404" s="3"/>
      <c r="V404" s="3"/>
      <c r="W404" s="3"/>
      <c r="X404" s="3"/>
      <c r="Y404" s="3"/>
      <c r="Z404" s="3"/>
    </row>
    <row r="405">
      <c r="A405" s="96" t="s">
        <v>1108</v>
      </c>
      <c r="B405" s="97" t="s">
        <v>1475</v>
      </c>
      <c r="C405" s="96" t="s">
        <v>1110</v>
      </c>
      <c r="D405" s="96" t="s">
        <v>659</v>
      </c>
      <c r="E405" s="96" t="s">
        <v>1476</v>
      </c>
      <c r="F405" s="97" t="s">
        <v>1477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3"/>
      <c r="U405" s="3"/>
      <c r="V405" s="3"/>
      <c r="W405" s="3"/>
      <c r="X405" s="3"/>
      <c r="Y405" s="3"/>
      <c r="Z405" s="3"/>
    </row>
    <row r="406">
      <c r="A406" s="96" t="s">
        <v>1478</v>
      </c>
      <c r="B406" s="101" t="s">
        <v>1114</v>
      </c>
      <c r="C406" s="96" t="s">
        <v>1115</v>
      </c>
      <c r="D406" s="96" t="s">
        <v>1116</v>
      </c>
      <c r="E406" s="98" t="str">
        <f>+1.7808608604, (954) 292-8830, (954) 292-8803 and +1.9546673648</f>
        <v>#ERROR!</v>
      </c>
      <c r="F406" s="101" t="s">
        <v>1479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3"/>
      <c r="U406" s="3"/>
      <c r="V406" s="3"/>
      <c r="W406" s="3"/>
      <c r="X406" s="3"/>
      <c r="Y406" s="3"/>
      <c r="Z406" s="3"/>
    </row>
    <row r="407">
      <c r="A407" s="104" t="s">
        <v>1119</v>
      </c>
      <c r="B407" s="96" t="s">
        <v>1120</v>
      </c>
      <c r="C407" s="104" t="s">
        <v>1121</v>
      </c>
      <c r="D407" s="104" t="s">
        <v>1122</v>
      </c>
      <c r="E407" s="98" t="str">
        <f>+1 501-282-3927
 +12674966210
 +12674966210</f>
        <v>#ERROR!</v>
      </c>
      <c r="F407" s="96" t="s">
        <v>1480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3"/>
      <c r="U407" s="3"/>
      <c r="V407" s="3"/>
      <c r="W407" s="3"/>
      <c r="X407" s="3"/>
      <c r="Y407" s="3"/>
      <c r="Z407" s="3"/>
    </row>
    <row r="408">
      <c r="A408" s="92" t="s">
        <v>1125</v>
      </c>
      <c r="B408" s="95" t="s">
        <v>1126</v>
      </c>
      <c r="C408" s="92" t="s">
        <v>1127</v>
      </c>
      <c r="D408" s="92" t="s">
        <v>285</v>
      </c>
      <c r="E408" s="98"/>
      <c r="F408" s="92" t="s">
        <v>1481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3"/>
      <c r="U408" s="3"/>
      <c r="V408" s="3"/>
      <c r="W408" s="3"/>
      <c r="X408" s="3"/>
      <c r="Y408" s="3"/>
      <c r="Z408" s="3"/>
    </row>
    <row r="409">
      <c r="A409" s="96" t="s">
        <v>1129</v>
      </c>
      <c r="B409" s="97" t="s">
        <v>1482</v>
      </c>
      <c r="C409" s="96" t="s">
        <v>1131</v>
      </c>
      <c r="D409" s="96" t="s">
        <v>154</v>
      </c>
      <c r="E409" s="77"/>
      <c r="F409" s="97" t="s">
        <v>1483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C21"/>
    <hyperlink r:id="rId20" ref="B22"/>
    <hyperlink r:id="rId21" ref="B23"/>
    <hyperlink r:id="rId22" ref="C23"/>
    <hyperlink r:id="rId23" ref="B24"/>
    <hyperlink r:id="rId24" ref="C24"/>
    <hyperlink r:id="rId25" ref="B25"/>
    <hyperlink r:id="rId26" ref="B26"/>
    <hyperlink r:id="rId27" ref="C26"/>
    <hyperlink r:id="rId28" ref="B27"/>
    <hyperlink r:id="rId29" ref="B28"/>
    <hyperlink r:id="rId30" ref="C28"/>
    <hyperlink r:id="rId31" ref="B29"/>
    <hyperlink r:id="rId32" ref="B30"/>
    <hyperlink r:id="rId33" ref="B31"/>
    <hyperlink r:id="rId34" ref="B33"/>
    <hyperlink r:id="rId35" ref="B34"/>
    <hyperlink r:id="rId36" ref="B35"/>
    <hyperlink r:id="rId37" ref="B36"/>
    <hyperlink r:id="rId38" ref="B37"/>
    <hyperlink r:id="rId39" ref="B38"/>
    <hyperlink r:id="rId40" ref="B40"/>
    <hyperlink r:id="rId41" ref="C40"/>
    <hyperlink r:id="rId42" ref="B41"/>
    <hyperlink r:id="rId43" ref="B43"/>
    <hyperlink r:id="rId44" ref="C43"/>
    <hyperlink r:id="rId45" ref="B44"/>
    <hyperlink r:id="rId46" ref="C44"/>
    <hyperlink r:id="rId47" ref="B45"/>
    <hyperlink r:id="rId48" ref="B46"/>
    <hyperlink r:id="rId49" ref="B47"/>
    <hyperlink r:id="rId50" ref="B48"/>
    <hyperlink r:id="rId51" ref="B50"/>
    <hyperlink r:id="rId52" ref="B51"/>
    <hyperlink r:id="rId53" ref="B52"/>
    <hyperlink r:id="rId54" ref="B53"/>
    <hyperlink r:id="rId55" ref="B54"/>
    <hyperlink r:id="rId56" ref="C54"/>
    <hyperlink r:id="rId57" ref="B55"/>
    <hyperlink r:id="rId58" ref="B56"/>
    <hyperlink r:id="rId59" ref="B58"/>
    <hyperlink r:id="rId60" ref="B59"/>
    <hyperlink r:id="rId61" ref="C59"/>
    <hyperlink r:id="rId62" ref="B60"/>
    <hyperlink r:id="rId63" ref="B61"/>
    <hyperlink r:id="rId64" ref="B62"/>
    <hyperlink r:id="rId65" ref="B63"/>
    <hyperlink r:id="rId66" ref="C63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4"/>
    <hyperlink r:id="rId86" ref="B85"/>
    <hyperlink r:id="rId87" ref="B86"/>
    <hyperlink r:id="rId88" ref="B87"/>
    <hyperlink r:id="rId89" ref="B88"/>
    <hyperlink r:id="rId90" ref="C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3"/>
    <hyperlink r:id="rId105" ref="B104"/>
    <hyperlink r:id="rId106" ref="F104"/>
    <hyperlink r:id="rId107" ref="B105"/>
    <hyperlink r:id="rId108" ref="F105"/>
    <hyperlink r:id="rId109" ref="B106"/>
    <hyperlink r:id="rId110" ref="F106"/>
    <hyperlink r:id="rId111" ref="F107"/>
    <hyperlink r:id="rId112" ref="F108"/>
    <hyperlink r:id="rId113" ref="B109"/>
    <hyperlink r:id="rId114" ref="F110"/>
    <hyperlink r:id="rId115" ref="B111"/>
    <hyperlink r:id="rId116" ref="F111"/>
    <hyperlink r:id="rId117" ref="B112"/>
    <hyperlink r:id="rId118" ref="F112"/>
    <hyperlink r:id="rId119" ref="B113"/>
    <hyperlink r:id="rId120" ref="B114"/>
    <hyperlink r:id="rId121" ref="F116"/>
    <hyperlink r:id="rId122" ref="B118"/>
    <hyperlink r:id="rId123" ref="B119"/>
    <hyperlink r:id="rId124" ref="B120"/>
    <hyperlink r:id="rId125" ref="B122"/>
    <hyperlink r:id="rId126" ref="B123"/>
    <hyperlink r:id="rId127" ref="B124"/>
    <hyperlink r:id="rId128" ref="B125"/>
    <hyperlink r:id="rId129" ref="F126"/>
    <hyperlink r:id="rId130" ref="B127"/>
    <hyperlink r:id="rId131" ref="B128"/>
    <hyperlink r:id="rId132" ref="B129"/>
    <hyperlink r:id="rId133" ref="B130"/>
    <hyperlink r:id="rId134" ref="B131"/>
    <hyperlink r:id="rId135" ref="F131"/>
    <hyperlink r:id="rId136" ref="B132"/>
    <hyperlink r:id="rId137" ref="B134"/>
    <hyperlink r:id="rId138" ref="B135"/>
    <hyperlink r:id="rId139" ref="B136"/>
    <hyperlink r:id="rId140" ref="F136"/>
    <hyperlink r:id="rId141" ref="B137"/>
    <hyperlink r:id="rId142" ref="B138"/>
    <hyperlink r:id="rId143" ref="F138"/>
    <hyperlink r:id="rId144" ref="B139"/>
    <hyperlink r:id="rId145" ref="B140"/>
    <hyperlink r:id="rId146" ref="F140"/>
    <hyperlink r:id="rId147" ref="B143"/>
    <hyperlink r:id="rId148" ref="B144"/>
    <hyperlink r:id="rId149" ref="F144"/>
    <hyperlink r:id="rId150" ref="B145"/>
    <hyperlink r:id="rId151" ref="F145"/>
    <hyperlink r:id="rId152" ref="B146"/>
    <hyperlink r:id="rId153" ref="B147"/>
    <hyperlink r:id="rId154" ref="F147"/>
    <hyperlink r:id="rId155" ref="B148"/>
    <hyperlink r:id="rId156" ref="F148"/>
    <hyperlink r:id="rId157" ref="B150"/>
    <hyperlink r:id="rId158" ref="B151"/>
    <hyperlink r:id="rId159" ref="B152"/>
    <hyperlink r:id="rId160" ref="B153"/>
    <hyperlink r:id="rId161" ref="B154"/>
    <hyperlink r:id="rId162" ref="B155"/>
    <hyperlink r:id="rId163" ref="F155"/>
    <hyperlink r:id="rId164" ref="B156"/>
    <hyperlink r:id="rId165" ref="B157"/>
    <hyperlink r:id="rId166" ref="B158"/>
    <hyperlink r:id="rId167" ref="B159"/>
    <hyperlink r:id="rId168" ref="B160"/>
    <hyperlink r:id="rId169" ref="F160"/>
    <hyperlink r:id="rId170" ref="B163"/>
    <hyperlink r:id="rId171" ref="F163"/>
    <hyperlink r:id="rId172" ref="B164"/>
    <hyperlink r:id="rId173" ref="B165"/>
    <hyperlink r:id="rId174" ref="B167"/>
    <hyperlink r:id="rId175" ref="B169"/>
    <hyperlink r:id="rId176" ref="F169"/>
    <hyperlink r:id="rId177" ref="B170"/>
    <hyperlink r:id="rId178" ref="F170"/>
    <hyperlink r:id="rId179" ref="B171"/>
    <hyperlink r:id="rId180" ref="B173"/>
    <hyperlink r:id="rId181" ref="B174"/>
    <hyperlink r:id="rId182" ref="B175"/>
    <hyperlink r:id="rId183" ref="B176"/>
    <hyperlink r:id="rId184" ref="B177"/>
    <hyperlink r:id="rId185" ref="F177"/>
    <hyperlink r:id="rId186" ref="B178"/>
    <hyperlink r:id="rId187" ref="B179"/>
    <hyperlink r:id="rId188" ref="B180"/>
    <hyperlink r:id="rId189" ref="F180"/>
    <hyperlink r:id="rId190" ref="B181"/>
    <hyperlink r:id="rId191" ref="B182"/>
    <hyperlink r:id="rId192" ref="B183"/>
    <hyperlink r:id="rId193" ref="B184"/>
    <hyperlink r:id="rId194" ref="B185"/>
    <hyperlink r:id="rId195" ref="B186"/>
    <hyperlink r:id="rId196" ref="B187"/>
    <hyperlink r:id="rId197" ref="B188"/>
    <hyperlink r:id="rId198" ref="B189"/>
    <hyperlink r:id="rId199" ref="B190"/>
    <hyperlink r:id="rId200" ref="B192"/>
    <hyperlink r:id="rId201" ref="F194"/>
    <hyperlink r:id="rId202" ref="B195"/>
    <hyperlink r:id="rId203" ref="F195"/>
    <hyperlink r:id="rId204" ref="B196"/>
    <hyperlink r:id="rId205" ref="B197"/>
    <hyperlink r:id="rId206" ref="B198"/>
    <hyperlink r:id="rId207" ref="B199"/>
    <hyperlink r:id="rId208" ref="B200"/>
    <hyperlink r:id="rId209" ref="B201"/>
    <hyperlink r:id="rId210" ref="B202"/>
    <hyperlink r:id="rId211" ref="F202"/>
    <hyperlink r:id="rId212" ref="B206"/>
    <hyperlink r:id="rId213" ref="F206"/>
    <hyperlink r:id="rId214" ref="B207"/>
    <hyperlink r:id="rId215" ref="B208"/>
    <hyperlink r:id="rId216" ref="B209"/>
    <hyperlink r:id="rId217" ref="B210"/>
    <hyperlink r:id="rId218" ref="B211"/>
    <hyperlink r:id="rId219" ref="B212"/>
    <hyperlink r:id="rId220" ref="B213"/>
    <hyperlink r:id="rId221" ref="B214"/>
    <hyperlink r:id="rId222" ref="B215"/>
    <hyperlink r:id="rId223" ref="B216"/>
    <hyperlink r:id="rId224" ref="B217"/>
    <hyperlink r:id="rId225" ref="B218"/>
    <hyperlink r:id="rId226" ref="B219"/>
    <hyperlink r:id="rId227" ref="B220"/>
    <hyperlink r:id="rId228" ref="B221"/>
    <hyperlink r:id="rId229" ref="B222"/>
    <hyperlink r:id="rId230" ref="B223"/>
    <hyperlink r:id="rId231" ref="B224"/>
    <hyperlink r:id="rId232" ref="C224"/>
    <hyperlink r:id="rId233" ref="B225"/>
    <hyperlink r:id="rId234" ref="B226"/>
    <hyperlink r:id="rId235" ref="C226"/>
    <hyperlink r:id="rId236" ref="B227"/>
    <hyperlink r:id="rId237" ref="C227"/>
    <hyperlink r:id="rId238" ref="B228"/>
    <hyperlink r:id="rId239" ref="B229"/>
    <hyperlink r:id="rId240" ref="C229"/>
    <hyperlink r:id="rId241" ref="B230"/>
    <hyperlink r:id="rId242" ref="B231"/>
    <hyperlink r:id="rId243" ref="C231"/>
    <hyperlink r:id="rId244" ref="B232"/>
    <hyperlink r:id="rId245" ref="B233"/>
    <hyperlink r:id="rId246" ref="B234"/>
    <hyperlink r:id="rId247" ref="B236"/>
    <hyperlink r:id="rId248" ref="B237"/>
    <hyperlink r:id="rId249" ref="B238"/>
    <hyperlink r:id="rId250" ref="B239"/>
    <hyperlink r:id="rId251" ref="B240"/>
    <hyperlink r:id="rId252" ref="B241"/>
    <hyperlink r:id="rId253" ref="B243"/>
    <hyperlink r:id="rId254" ref="C243"/>
    <hyperlink r:id="rId255" ref="B244"/>
    <hyperlink r:id="rId256" ref="B246"/>
    <hyperlink r:id="rId257" ref="C246"/>
    <hyperlink r:id="rId258" ref="B247"/>
    <hyperlink r:id="rId259" ref="C247"/>
    <hyperlink r:id="rId260" ref="B248"/>
    <hyperlink r:id="rId261" ref="B249"/>
    <hyperlink r:id="rId262" ref="B250"/>
    <hyperlink r:id="rId263" ref="B251"/>
    <hyperlink r:id="rId264" ref="B253"/>
    <hyperlink r:id="rId265" ref="B254"/>
    <hyperlink r:id="rId266" ref="B255"/>
    <hyperlink r:id="rId267" ref="B256"/>
    <hyperlink r:id="rId268" ref="B257"/>
    <hyperlink r:id="rId269" ref="C257"/>
    <hyperlink r:id="rId270" ref="B258"/>
    <hyperlink r:id="rId271" ref="B259"/>
    <hyperlink r:id="rId272" ref="B261"/>
    <hyperlink r:id="rId273" ref="B262"/>
    <hyperlink r:id="rId274" ref="C262"/>
    <hyperlink r:id="rId275" ref="B263"/>
    <hyperlink r:id="rId276" ref="B264"/>
    <hyperlink r:id="rId277" ref="B265"/>
    <hyperlink r:id="rId278" ref="B266"/>
    <hyperlink r:id="rId279" ref="C266"/>
    <hyperlink r:id="rId280" ref="B268"/>
    <hyperlink r:id="rId281" ref="B269"/>
    <hyperlink r:id="rId282" ref="B270"/>
    <hyperlink r:id="rId283" ref="B271"/>
    <hyperlink r:id="rId284" ref="B272"/>
    <hyperlink r:id="rId285" ref="B273"/>
    <hyperlink r:id="rId286" ref="B274"/>
    <hyperlink r:id="rId287" ref="B275"/>
    <hyperlink r:id="rId288" ref="B276"/>
    <hyperlink r:id="rId289" ref="B277"/>
    <hyperlink r:id="rId290" ref="B278"/>
    <hyperlink r:id="rId291" ref="B279"/>
    <hyperlink r:id="rId292" ref="B280"/>
    <hyperlink r:id="rId293" ref="B281"/>
    <hyperlink r:id="rId294" ref="B282"/>
    <hyperlink r:id="rId295" ref="B283"/>
    <hyperlink r:id="rId296" ref="B284"/>
    <hyperlink r:id="rId297" ref="B285"/>
    <hyperlink r:id="rId298" ref="B287"/>
    <hyperlink r:id="rId299" ref="B288"/>
    <hyperlink r:id="rId300" ref="B289"/>
    <hyperlink r:id="rId301" ref="B290"/>
    <hyperlink r:id="rId302" ref="B291"/>
    <hyperlink r:id="rId303" ref="C291"/>
    <hyperlink r:id="rId304" ref="B292"/>
    <hyperlink r:id="rId305" ref="B293"/>
    <hyperlink r:id="rId306" ref="B294"/>
    <hyperlink r:id="rId307" ref="B295"/>
    <hyperlink r:id="rId308" ref="B296"/>
    <hyperlink r:id="rId309" ref="B297"/>
    <hyperlink r:id="rId310" ref="B298"/>
    <hyperlink r:id="rId311" ref="B299"/>
    <hyperlink r:id="rId312" ref="B300"/>
    <hyperlink r:id="rId313" ref="B301"/>
    <hyperlink r:id="rId314" ref="B302"/>
    <hyperlink r:id="rId315" ref="B303"/>
    <hyperlink r:id="rId316" ref="B304"/>
    <hyperlink r:id="rId317" ref="B306"/>
    <hyperlink r:id="rId318" ref="B307"/>
    <hyperlink r:id="rId319" ref="F307"/>
    <hyperlink r:id="rId320" ref="B308"/>
    <hyperlink r:id="rId321" ref="F308"/>
    <hyperlink r:id="rId322" ref="B309"/>
    <hyperlink r:id="rId323" ref="F309"/>
    <hyperlink r:id="rId324" ref="F310"/>
    <hyperlink r:id="rId325" ref="B311"/>
    <hyperlink r:id="rId326" ref="F311"/>
    <hyperlink r:id="rId327" ref="B312"/>
    <hyperlink r:id="rId328" ref="B313"/>
    <hyperlink r:id="rId329" ref="F313"/>
    <hyperlink r:id="rId330" ref="B314"/>
    <hyperlink r:id="rId331" ref="F314"/>
    <hyperlink r:id="rId332" ref="B315"/>
    <hyperlink r:id="rId333" ref="F315"/>
    <hyperlink r:id="rId334" ref="B316"/>
    <hyperlink r:id="rId335" ref="B317"/>
    <hyperlink r:id="rId336" ref="B318"/>
    <hyperlink r:id="rId337" ref="B319"/>
    <hyperlink r:id="rId338" ref="F319"/>
    <hyperlink r:id="rId339" ref="B320"/>
    <hyperlink r:id="rId340" ref="B321"/>
    <hyperlink r:id="rId341" ref="B322"/>
    <hyperlink r:id="rId342" ref="B323"/>
    <hyperlink r:id="rId343" ref="B324"/>
    <hyperlink r:id="rId344" ref="B325"/>
    <hyperlink r:id="rId345" ref="B326"/>
    <hyperlink r:id="rId346" ref="B327"/>
    <hyperlink r:id="rId347" ref="B328"/>
    <hyperlink r:id="rId348" ref="B329"/>
    <hyperlink r:id="rId349" ref="F329"/>
    <hyperlink r:id="rId350" ref="B330"/>
    <hyperlink r:id="rId351" ref="B331"/>
    <hyperlink r:id="rId352" ref="B332"/>
    <hyperlink r:id="rId353" ref="B333"/>
    <hyperlink r:id="rId354" ref="B334"/>
    <hyperlink r:id="rId355" ref="F334"/>
    <hyperlink r:id="rId356" ref="B335"/>
    <hyperlink r:id="rId357" ref="B337"/>
    <hyperlink r:id="rId358" ref="B338"/>
    <hyperlink r:id="rId359" ref="B339"/>
    <hyperlink r:id="rId360" ref="F339"/>
    <hyperlink r:id="rId361" ref="B340"/>
    <hyperlink r:id="rId362" ref="B341"/>
    <hyperlink r:id="rId363" ref="F341"/>
    <hyperlink r:id="rId364" ref="B342"/>
    <hyperlink r:id="rId365" ref="B343"/>
    <hyperlink r:id="rId366" ref="F343"/>
    <hyperlink r:id="rId367" ref="B344"/>
    <hyperlink r:id="rId368" ref="B345"/>
    <hyperlink r:id="rId369" ref="B346"/>
    <hyperlink r:id="rId370" ref="B347"/>
    <hyperlink r:id="rId371" ref="F347"/>
    <hyperlink r:id="rId372" ref="B348"/>
    <hyperlink r:id="rId373" ref="F348"/>
    <hyperlink r:id="rId374" ref="B349"/>
    <hyperlink r:id="rId375" ref="B350"/>
    <hyperlink r:id="rId376" ref="F350"/>
    <hyperlink r:id="rId377" ref="B351"/>
    <hyperlink r:id="rId378" ref="F351"/>
    <hyperlink r:id="rId379" ref="B352"/>
    <hyperlink r:id="rId380" ref="B353"/>
    <hyperlink r:id="rId381" ref="B354"/>
    <hyperlink r:id="rId382" ref="B355"/>
    <hyperlink r:id="rId383" ref="B356"/>
    <hyperlink r:id="rId384" ref="B357"/>
    <hyperlink r:id="rId385" ref="B358"/>
    <hyperlink r:id="rId386" ref="F358"/>
    <hyperlink r:id="rId387" ref="B359"/>
    <hyperlink r:id="rId388" ref="B360"/>
    <hyperlink r:id="rId389" ref="B361"/>
    <hyperlink r:id="rId390" ref="B362"/>
    <hyperlink r:id="rId391" ref="B363"/>
    <hyperlink r:id="rId392" ref="F363"/>
    <hyperlink r:id="rId393" ref="B364"/>
    <hyperlink r:id="rId394" ref="B365"/>
    <hyperlink r:id="rId395" ref="B366"/>
    <hyperlink r:id="rId396" ref="F366"/>
    <hyperlink r:id="rId397" ref="B367"/>
    <hyperlink r:id="rId398" ref="B368"/>
    <hyperlink r:id="rId399" ref="B369"/>
    <hyperlink r:id="rId400" ref="B370"/>
    <hyperlink r:id="rId401" ref="B371"/>
    <hyperlink r:id="rId402" ref="B372"/>
    <hyperlink r:id="rId403" ref="F372"/>
    <hyperlink r:id="rId404" ref="B373"/>
    <hyperlink r:id="rId405" ref="F373"/>
    <hyperlink r:id="rId406" ref="B374"/>
    <hyperlink r:id="rId407" ref="B375"/>
    <hyperlink r:id="rId408" ref="B376"/>
    <hyperlink r:id="rId409" ref="B377"/>
    <hyperlink r:id="rId410" ref="B378"/>
    <hyperlink r:id="rId411" ref="B379"/>
    <hyperlink r:id="rId412" ref="B380"/>
    <hyperlink r:id="rId413" ref="B381"/>
    <hyperlink r:id="rId414" ref="B382"/>
    <hyperlink r:id="rId415" ref="B383"/>
    <hyperlink r:id="rId416" ref="F383"/>
    <hyperlink r:id="rId417" ref="B384"/>
    <hyperlink r:id="rId418" ref="B385"/>
    <hyperlink r:id="rId419" ref="B386"/>
    <hyperlink r:id="rId420" ref="B387"/>
    <hyperlink r:id="rId421" ref="B388"/>
    <hyperlink r:id="rId422" ref="B389"/>
    <hyperlink r:id="rId423" ref="B390"/>
    <hyperlink r:id="rId424" ref="A391"/>
    <hyperlink r:id="rId425" ref="B391"/>
    <hyperlink r:id="rId426" ref="B392"/>
    <hyperlink r:id="rId427" ref="B393"/>
    <hyperlink r:id="rId428" ref="B394"/>
    <hyperlink r:id="rId429" ref="B395"/>
    <hyperlink r:id="rId430" ref="B396"/>
    <hyperlink r:id="rId431" ref="B397"/>
    <hyperlink r:id="rId432" ref="F397"/>
    <hyperlink r:id="rId433" ref="B398"/>
    <hyperlink r:id="rId434" ref="B399"/>
    <hyperlink r:id="rId435" ref="B400"/>
    <hyperlink r:id="rId436" ref="B401"/>
    <hyperlink r:id="rId437" ref="B402"/>
    <hyperlink r:id="rId438" ref="B403"/>
    <hyperlink r:id="rId439" ref="B404"/>
    <hyperlink r:id="rId440" ref="B405"/>
    <hyperlink r:id="rId441" ref="F405"/>
    <hyperlink r:id="rId442" ref="B406"/>
    <hyperlink r:id="rId443" ref="B408"/>
    <hyperlink r:id="rId444" ref="B409"/>
    <hyperlink r:id="rId445" ref="F409"/>
  </hyperlinks>
  <drawing r:id="rId446"/>
</worksheet>
</file>